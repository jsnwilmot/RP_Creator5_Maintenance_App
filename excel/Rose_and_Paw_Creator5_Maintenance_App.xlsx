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bdfa4b0f1554ad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3f0e0f21d392455a"/>
    <x:sheet xmlns:r="http://schemas.openxmlformats.org/officeDocument/2006/relationships" name="Maintenance Center" sheetId="2" r:id="R3949d06e98db43da"/>
    <x:sheet xmlns:r="http://schemas.openxmlformats.org/officeDocument/2006/relationships" name="Checklist" sheetId="3" r:id="R70bff257ec4c4dac"/>
    <x:sheet xmlns:r="http://schemas.openxmlformats.org/officeDocument/2006/relationships" name="Service Log" sheetId="4" r:id="R834e993eadf64103"/>
    <x:sheet xmlns:r="http://schemas.openxmlformats.org/officeDocument/2006/relationships" name="Instructions" sheetId="5" r:id="Rb164ac68ed7e4c04"/>
    <x:sheet xmlns:r="http://schemas.openxmlformats.org/officeDocument/2006/relationships" name="Reference" sheetId="6" r:id="Re3dfdebfd1a24a2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0"/>
    <x:numFmt numFmtId="202" formatCode="$#,##0.00"/>
  </x:numFmts>
  <x:fonts count="40">
    <x:font>
      <x:sz val="11"/>
      <x:name val="Carlito"/>
    </x:font>
    <x:font>
      <x:b/>
      <x:sz val="20"/>
      <x:color rgb="FFFFFFFF"/>
      <x:name val="Carlito"/>
    </x:font>
    <x:font>
      <x:i/>
      <x:sz val="10"/>
      <x:color rgb="FFDDEBF7"/>
      <x:name val="Carlito"/>
    </x:font>
    <x:font>
      <x:b/>
      <x:sz val="10"/>
      <x:color rgb="FFFFFFFF"/>
      <x:name val="Carlito"/>
    </x:font>
    <x:font>
      <x:b/>
      <x:sz val="11"/>
      <x:color rgb="FFFFFFFF"/>
      <x:name val="Carlito"/>
    </x:font>
    <x:font>
      <x:b/>
      <x:sz val="11"/>
      <x:color rgb="FF5B6573"/>
      <x:name val="Carlito"/>
    </x:font>
    <x:font>
      <x:b/>
      <x:sz val="22"/>
      <x:color rgb="FF17365D"/>
      <x:name val="Carlito"/>
    </x:font>
    <x:font>
      <x:sz val="9"/>
      <x:color rgb="FF2F75B5"/>
      <x:name val="Carlito"/>
    </x:font>
    <x:font>
      <x:b/>
      <x:sz val="24"/>
      <x:color rgb="FFC00000"/>
      <x:name val="Carlito"/>
    </x:font>
    <x:font>
      <x:sz val="9"/>
      <x:color rgb="FF5B6573"/>
      <x:name val="Carlito"/>
    </x:font>
    <x:font>
      <x:b/>
      <x:sz val="24"/>
      <x:color rgb="FFC55A11"/>
      <x:name val="Carlito"/>
    </x:font>
    <x:font>
      <x:b/>
      <x:sz val="18"/>
      <x:color rgb="FF70AD47"/>
      <x:name val="Carlito"/>
    </x:font>
    <x:font>
      <x:b/>
      <x:sz val="9"/>
      <x:color rgb="FFFFFFFF"/>
      <x:name val="Carlito"/>
    </x:font>
    <x:font>
      <x:sz val="9"/>
      <x:color rgb="FF1F2937"/>
      <x:name val="Carlito"/>
    </x:font>
    <x:font>
      <x:b/>
      <x:sz val="9"/>
      <x:color rgb="FF2F75B5"/>
      <x:name val="Carlito"/>
    </x:font>
    <x:font>
      <x:sz val="11"/>
      <x:color rgb="FF1F2937"/>
      <x:name val="Carlito"/>
    </x:font>
    <x:font>
      <x:i/>
      <x:sz val="9"/>
      <x:color rgb="FF7F6000"/>
      <x:name val="Carlito"/>
    </x:font>
    <x:font>
      <x:i/>
      <x:sz val="9"/>
      <x:color rgb="FFDDEBF7"/>
      <x:name val="Carlito"/>
    </x:font>
    <x:font>
      <x:b/>
      <x:sz val="9"/>
      <x:color rgb="FF17365D"/>
      <x:name val="Carlito"/>
    </x:font>
    <x:font>
      <x:sz val="9"/>
      <x:color rgb="FF17365D"/>
      <x:name val="Carlito"/>
    </x:font>
    <x:font>
      <x:b/>
      <x:sz val="14"/>
      <x:color rgb="FF5B6573"/>
      <x:name val="Carlito"/>
    </x:font>
    <x:font>
      <x:b/>
      <x:sz val="9"/>
      <x:color rgb="FF375623"/>
      <x:name val="Carlito"/>
    </x:font>
    <x:font>
      <x:b/>
      <x:sz val="9"/>
      <x:color rgb="FF5B6573"/>
      <x:name val="Carlito"/>
    </x:font>
    <x:font>
      <x:sz val="10"/>
      <x:color rgb="FF1F2937"/>
      <x:name val="Carlito"/>
    </x:font>
    <x:font>
      <x:b/>
      <x:sz val="10"/>
      <x:color rgb="FF17365D"/>
      <x:name val="Carlito"/>
    </x:font>
    <x:font>
      <x:sz val="9"/>
      <x:color rgb="FF7F6000"/>
      <x:name val="Carlito"/>
    </x:font>
    <x:font>
      <x:b/>
      <x:sz val="9"/>
      <x:color rgb="FF7F6000"/>
      <x:name val="Carlito"/>
    </x:font>
    <x:font>
      <x:b/>
      <x:sz val="10"/>
      <x:color rgb="FF1F2937"/>
      <x:name val="Carlito"/>
    </x:font>
    <x:font>
      <x:b/>
      <x:sz val="10"/>
      <x:color rgb="FF17324D"/>
      <x:name val="Carlito"/>
    </x:font>
    <x:font>
      <x:b/>
      <x:sz val="11"/>
      <x:color rgb="FF17324D"/>
      <x:name val="Carlito"/>
    </x:font>
    <x:font>
      <x:b/>
      <x:sz val="9"/>
      <x:color rgb="FF17324D"/>
      <x:name val="Carlito"/>
    </x:font>
    <x:font>
      <x:sz val="10"/>
      <x:name val="Carlito"/>
    </x:font>
    <x:font>
      <x:sz val="10"/>
      <x:color rgb="FF7F6000"/>
      <x:name val="Carlito"/>
    </x:font>
    <x:font>
      <x:b/>
      <x:sz val="13"/>
      <x:color rgb="FF65788A"/>
      <x:name val="Carlito"/>
    </x:font>
    <x:font>
      <x:sz val="10"/>
      <x:color rgb="FF17324D"/>
      <x:name val="Carlito"/>
    </x:font>
    <x:font>
      <x:b/>
      <x:i/>
      <x:sz val="10"/>
      <x:color rgb="FFFFFFFF"/>
      <x:name val="Carlito"/>
    </x:font>
    <x:font>
      <x:b/>
      <x:i/>
      <x:sz val="10"/>
      <x:color rgb="FFF7E8D6"/>
      <x:name val="Carlito"/>
    </x:font>
    <x:font>
      <x:i/>
      <x:sz val="9"/>
      <x:color rgb="FF5A2A12"/>
      <x:name val="Carlito"/>
    </x:font>
    <x:font>
      <x:b/>
      <x:sz val="10"/>
      <x:color rgb="FF5A2A12"/>
      <x:name val="Carlito"/>
    </x:font>
    <x:font>
      <x:sz val="11"/>
      <x:color rgb="FF2E211A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F3F6F9"/>
      </x:patternFill>
    </x:fill>
    <x:fill>
      <x:patternFill patternType="solid">
        <x:fgColor rgb="FF17365D"/>
      </x:patternFill>
    </x:fill>
    <x:fill>
      <x:patternFill patternType="solid">
        <x:fgColor rgb="FF0F6B69"/>
      </x:patternFill>
    </x:fill>
    <x:fill>
      <x:patternFill patternType="solid">
        <x:fgColor rgb="FF2F75B5"/>
      </x:patternFill>
    </x:fill>
    <x:fill>
      <x:patternFill patternType="solid">
        <x:fgColor rgb="FFC00000"/>
      </x:patternFill>
    </x:fill>
    <x:fill>
      <x:patternFill patternType="solid">
        <x:fgColor rgb="FFC55A11"/>
      </x:patternFill>
    </x:fill>
    <x:fill>
      <x:patternFill patternType="solid">
        <x:fgColor rgb="FF70AD47"/>
      </x:patternFill>
    </x:fill>
    <x:fill>
      <x:patternFill patternType="solid">
        <x:fgColor rgb="FFFFFFFF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E2F0D9"/>
      </x:patternFill>
    </x:fill>
    <x:fill>
      <x:patternFill patternType="solid">
        <x:fgColor rgb="FF173E6B"/>
      </x:patternFill>
    </x:fill>
    <x:fill>
      <x:patternFill patternType="solid">
        <x:fgColor rgb="FF117A78"/>
      </x:patternFill>
    </x:fill>
    <x:fill>
      <x:patternFill patternType="solid">
        <x:fgColor rgb="FF2F7FBE"/>
      </x:patternFill>
    </x:fill>
    <x:fill>
      <x:patternFill patternType="solid">
        <x:fgColor rgb="FFEAF4FB"/>
      </x:patternFill>
    </x:fill>
    <x:fill>
      <x:patternFill patternType="solid">
        <x:fgColor rgb="FFFFF2CC"/>
      </x:patternFill>
    </x:fill>
    <x:fill>
      <x:patternFill patternType="solid">
        <x:fgColor rgb="FFFFF8E5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5A2A12"/>
      </x:patternFill>
    </x:fill>
    <x:fill>
      <x:patternFill patternType="solid">
        <x:fgColor rgb="FF3B190B"/>
      </x:patternFill>
    </x:fill>
    <x:fill>
      <x:patternFill patternType="solid">
        <x:fgColor rgb="FFB64232"/>
      </x:patternFill>
    </x:fill>
    <x:fill>
      <x:patternFill patternType="solid">
        <x:fgColor rgb="FFA9632F"/>
      </x:patternFill>
    </x:fill>
    <x:fill>
      <x:patternFill patternType="solid">
        <x:fgColor rgb="FFF1DEC4"/>
      </x:patternFill>
    </x:fill>
    <x:fill>
      <x:patternFill patternType="solid">
        <x:fgColor rgb="FFFBF4EA"/>
      </x:patternFill>
    </x:fill>
  </x:fills>
  <x:borders count="13">
    <x:border/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medium">
        <x:color rgb="FFF4B183"/>
      </x:left>
      <x:right style="medium">
        <x:color rgb="FFF4B183"/>
      </x:right>
      <x:top style="medium">
        <x:color rgb="FFF4B183"/>
      </x:top>
      <x:bottom style="medium">
        <x:color rgb="FFF4B183"/>
      </x:bottom>
    </x:border>
    <x:border>
      <x:left style="medium">
        <x:color rgb="FFF4B183"/>
      </x:left>
      <x:right style="medium">
        <x:color rgb="FFF4B183"/>
      </x:right>
      <x:top style="medium">
        <x:color rgb="FFF4B183"/>
      </x:top>
      <x:bottom style="medium">
        <x:color rgb="FFF4B183"/>
      </x:bottom>
    </x:border>
    <x:border>
      <x:left style="thin">
        <x:color rgb="FF17365D"/>
      </x:left>
      <x:right style="thin">
        <x:color rgb="FF17365D"/>
      </x:right>
      <x:top style="thin">
        <x:color rgb="FF17365D"/>
      </x:top>
      <x:bottom style="thin">
        <x:color rgb="FF17365D"/>
      </x:bottom>
    </x:border>
    <x:border>
      <x:left style="thin">
        <x:color rgb="FF17365D"/>
      </x:left>
      <x:right style="thin">
        <x:color rgb="FF17365D"/>
      </x:right>
      <x:top style="thin">
        <x:color rgb="FF17365D"/>
      </x:top>
      <x:bottom style="thin">
        <x:color rgb="FF17365D"/>
      </x:bottom>
    </x:border>
    <x:border>
      <x:top style="medium">
        <x:color rgb="FF17365D"/>
      </x:top>
    </x:border>
    <x:border>
      <x:top style="medium">
        <x:color rgb="FF17365D"/>
      </x:top>
    </x:border>
    <x:border>
      <x:bottom style="thin">
        <x:color rgb="FFC9D2DC"/>
      </x:bottom>
    </x:border>
    <x:border>
      <x:bottom style="thin">
        <x:color rgb="FFC9D2DC"/>
      </x:bottom>
    </x:border>
    <x:border>
      <x:left style="thin">
        <x:color rgb="FFC9D2DC"/>
      </x:left>
    </x:border>
  </x:borders>
  <x:cellStyleXfs count="1">
    <x:xf numFmtId="0" fontId="0" fillId="0" borderId="0"/>
  </x:cellStyleXfs>
  <x:cellXfs count="44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/>
    <x:xf numFmtId="0" fontId="1" fillId="3" borderId="1" xfId="0" applyNumberFormat="1" applyFont="1" applyFill="1" applyBorder="1"/>
    <x:xf numFmtId="0" fontId="1" fillId="3" borderId="1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2" xfId="0" applyNumberFormat="1" applyFont="1" applyFill="1" applyBorder="1"/>
    <x:xf numFmtId="0" fontId="3" fillId="4" borderId="2" xfId="0" applyNumberFormat="1" applyFont="1" applyFill="1" applyBorder="1" applyAlignment="1">
      <x:alignment horizontal="center"/>
    </x:xf>
    <x:xf numFmtId="0" fontId="3" fillId="4" borderId="2" xfId="0" applyNumberFormat="1" applyFont="1" applyFill="1" applyBorder="1" applyAlignment="1">
      <x:alignment horizontal="center"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3" xfId="0" applyNumberFormat="1" applyFont="1" applyFill="1" applyBorder="1"/>
    <x:xf numFmtId="0" fontId="3" fillId="4" borderId="3" xfId="0" applyNumberFormat="1" applyFont="1" applyFill="1" applyBorder="1" applyAlignment="1">
      <x:alignment horizontal="center"/>
    </x:xf>
    <x:xf numFmtId="0" fontId="3" fillId="4" borderId="3" xfId="0" applyNumberFormat="1" applyFont="1" applyFill="1" applyBorder="1" applyAlignment="1">
      <x:alignment horizontal="center" vertical="center"/>
    </x:xf>
    <x:xf numFmtId="0" fontId="3" fillId="3" borderId="0" xfId="0" applyNumberFormat="1" applyFont="1" applyFill="1" applyBorder="1"/>
    <x:xf numFmtId="0" fontId="3" fillId="3" borderId="2" xfId="0" applyNumberFormat="1" applyFont="1" applyFill="1" applyBorder="1"/>
    <x:xf numFmtId="0" fontId="3" fillId="3" borderId="2" xfId="0" applyNumberFormat="1" applyFont="1" applyFill="1" applyBorder="1" applyAlignment="1">
      <x:alignment horizontal="center"/>
    </x:xf>
    <x:xf numFmtId="0" fontId="3" fillId="3" borderId="2" xfId="0" applyNumberFormat="1" applyFont="1" applyFill="1" applyBorder="1" applyAlignment="1">
      <x:alignment horizontal="center" vertical="center"/>
    </x:xf>
    <x:xf numFmtId="0" fontId="3" fillId="3" borderId="1" xfId="0" applyNumberFormat="1" applyFont="1" applyFill="1" applyBorder="1"/>
    <x:xf numFmtId="0" fontId="3" fillId="3" borderId="3" xfId="0" applyNumberFormat="1" applyFont="1" applyFill="1" applyBorder="1"/>
    <x:xf numFmtId="0" fontId="3" fillId="3" borderId="3" xfId="0" applyNumberFormat="1" applyFont="1" applyFill="1" applyBorder="1" applyAlignment="1">
      <x:alignment horizontal="center"/>
    </x:xf>
    <x:xf numFmtId="0" fontId="3" fillId="3" borderId="3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horizontal="center"/>
    </x:xf>
    <x:xf numFmtId="0" fontId="4" fillId="5" borderId="0" xfId="0" applyNumberFormat="1" applyFont="1" applyFill="1" applyBorder="1" applyAlignment="1">
      <x:alignment horizontal="center" vertical="center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horizontal="center"/>
    </x:xf>
    <x:xf numFmtId="0" fontId="4" fillId="5" borderId="1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/>
    </x:xf>
    <x:xf numFmtId="0" fontId="4" fillId="6" borderId="0" xfId="0" applyNumberFormat="1" applyFont="1" applyFill="1" applyBorder="1" applyAlignment="1">
      <x:alignment horizontal="center" vertical="center"/>
    </x:xf>
    <x:xf numFmtId="0" fontId="0" fillId="6" borderId="1" xfId="0" applyNumberFormat="1" applyFont="1" applyFill="1" applyBorder="1"/>
    <x:xf numFmtId="0" fontId="4" fillId="6" borderId="1" xfId="0" applyNumberFormat="1" applyFont="1" applyFill="1" applyBorder="1"/>
    <x:xf numFmtId="0" fontId="4" fillId="6" borderId="1" xfId="0" applyNumberFormat="1" applyFont="1" applyFill="1" applyBorder="1" applyAlignment="1">
      <x:alignment horizontal="center"/>
    </x:xf>
    <x:xf numFmtId="0" fontId="4" fillId="6" borderId="1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horizontal="center"/>
    </x:xf>
    <x:xf numFmtId="0" fontId="4" fillId="7" borderId="0" xfId="0" applyNumberFormat="1" applyFont="1" applyFill="1" applyBorder="1" applyAlignment="1">
      <x:alignment horizontal="center" vertical="center"/>
    </x:xf>
    <x:xf numFmtId="0" fontId="0" fillId="7" borderId="1" xfId="0" applyNumberFormat="1" applyFont="1" applyFill="1" applyBorder="1"/>
    <x:xf numFmtId="0" fontId="4" fillId="7" borderId="1" xfId="0" applyNumberFormat="1" applyFont="1" applyFill="1" applyBorder="1"/>
    <x:xf numFmtId="0" fontId="4" fillId="7" borderId="1" xfId="0" applyNumberFormat="1" applyFont="1" applyFill="1" applyBorder="1" applyAlignment="1">
      <x:alignment horizontal="center"/>
    </x:xf>
    <x:xf numFmtId="0" fontId="4" fillId="7" borderId="1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0" xfId="0" applyNumberFormat="1" applyFont="1" applyFill="1" applyBorder="1" applyAlignment="1">
      <x:alignment horizontal="center"/>
    </x:xf>
    <x:xf numFmtId="0" fontId="4" fillId="8" borderId="0" xfId="0" applyNumberFormat="1" applyFont="1" applyFill="1" applyBorder="1" applyAlignment="1">
      <x:alignment horizontal="center" vertical="center"/>
    </x:xf>
    <x:xf numFmtId="0" fontId="0" fillId="8" borderId="1" xfId="0" applyNumberFormat="1" applyFont="1" applyFill="1" applyBorder="1"/>
    <x:xf numFmtId="0" fontId="4" fillId="8" borderId="1" xfId="0" applyNumberFormat="1" applyFont="1" applyFill="1" applyBorder="1"/>
    <x:xf numFmtId="0" fontId="4" fillId="8" borderId="1" xfId="0" applyNumberFormat="1" applyFont="1" applyFill="1" applyBorder="1" applyAlignment="1">
      <x:alignment horizontal="center"/>
    </x:xf>
    <x:xf numFmtId="0" fontId="4" fillId="8" borderId="1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0" fillId="9" borderId="1" xfId="0" applyNumberFormat="1" applyFont="1" applyFill="1" applyBorder="1"/>
    <x:xf numFmtId="0" fontId="5" fillId="9" borderId="0" xfId="0" applyNumberFormat="1" applyFont="1" applyFill="1" applyBorder="1"/>
    <x:xf numFmtId="0" fontId="5" fillId="9" borderId="1" xfId="0" applyNumberFormat="1" applyFont="1" applyFill="1" applyBorder="1"/>
    <x:xf numFmtId="0" fontId="0" fillId="10" borderId="0" xfId="0" applyNumberFormat="1" applyFont="1" applyFill="1" applyBorder="1"/>
    <x:xf numFmtId="0" fontId="6" fillId="10" borderId="0" xfId="0" applyNumberFormat="1" applyFont="1" applyFill="1" applyBorder="1"/>
    <x:xf numFmtId="0" fontId="6" fillId="10" borderId="4" xfId="0" applyNumberFormat="1" applyFont="1" applyFill="1" applyBorder="1"/>
    <x:xf numFmtId="0" fontId="6" fillId="10" borderId="4" xfId="0" applyNumberFormat="1" applyFont="1" applyFill="1" applyBorder="1" applyAlignment="1">
      <x:alignment horizontal="center"/>
    </x:xf>
    <x:xf numFmtId="0" fontId="6" fillId="10" borderId="4" xfId="0" applyNumberFormat="1" applyFont="1" applyFill="1" applyBorder="1" applyAlignment="1">
      <x:alignment horizontal="center" vertical="center"/>
    </x:xf>
    <x:xf numFmtId="0" fontId="0" fillId="10" borderId="1" xfId="0" applyNumberFormat="1" applyFont="1" applyFill="1" applyBorder="1"/>
    <x:xf numFmtId="0" fontId="6" fillId="10" borderId="1" xfId="0" applyNumberFormat="1" applyFont="1" applyFill="1" applyBorder="1"/>
    <x:xf numFmtId="0" fontId="6" fillId="10" borderId="5" xfId="0" applyNumberFormat="1" applyFont="1" applyFill="1" applyBorder="1"/>
    <x:xf numFmtId="0" fontId="6" fillId="10" borderId="5" xfId="0" applyNumberFormat="1" applyFont="1" applyFill="1" applyBorder="1" applyAlignment="1">
      <x:alignment horizontal="center"/>
    </x:xf>
    <x:xf numFmtId="0" fontId="6" fillId="10" borderId="5" xfId="0" applyNumberFormat="1" applyFont="1" applyFill="1" applyBorder="1" applyAlignment="1">
      <x:alignment horizontal="center" vertical="center"/>
    </x:xf>
    <x:xf numFmtId="200" fontId="0" fillId="9" borderId="0" xfId="0" applyNumberFormat="1" applyFont="1" applyFill="1" applyBorder="1"/>
    <x:xf numFmtId="200" fontId="0" fillId="9" borderId="1" xfId="0" applyNumberFormat="1" applyFont="1" applyFill="1" applyBorder="1"/>
    <x:xf numFmtId="0" fontId="7" fillId="9" borderId="0" xfId="0" applyNumberFormat="1" applyFont="1" applyFill="1" applyBorder="1"/>
    <x:xf numFmtId="0" fontId="7" fillId="9" borderId="1" xfId="0" applyNumberFormat="1" applyFont="1" applyFill="1" applyBorder="1"/>
    <x:xf numFmtId="0" fontId="8" fillId="9" borderId="0" xfId="0" applyNumberFormat="1" applyFont="1" applyFill="1" applyBorder="1"/>
    <x:xf numFmtId="0" fontId="8" fillId="9" borderId="0" xfId="0" applyNumberFormat="1" applyFont="1" applyFill="1" applyBorder="1" applyAlignment="1">
      <x:alignment horizontal="center"/>
    </x:xf>
    <x:xf numFmtId="0" fontId="8" fillId="9" borderId="1" xfId="0" applyNumberFormat="1" applyFont="1" applyFill="1" applyBorder="1"/>
    <x:xf numFmtId="0" fontId="8" fillId="9" borderId="1" xfId="0" applyNumberFormat="1" applyFont="1" applyFill="1" applyBorder="1" applyAlignment="1">
      <x:alignment horizontal="center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horizontal="center" wrapText="1"/>
    </x:xf>
    <x:xf numFmtId="0" fontId="9" fillId="9" borderId="1" xfId="0" applyNumberFormat="1" applyFont="1" applyFill="1" applyBorder="1"/>
    <x:xf numFmtId="0" fontId="9" fillId="9" borderId="1" xfId="0" applyNumberFormat="1" applyFont="1" applyFill="1" applyBorder="1" applyAlignment="1">
      <x:alignment wrapText="1"/>
    </x:xf>
    <x:xf numFmtId="0" fontId="9" fillId="9" borderId="1" xfId="0" applyNumberFormat="1" applyFont="1" applyFill="1" applyBorder="1" applyAlignment="1">
      <x:alignment horizontal="center" wrapText="1"/>
    </x:xf>
    <x:xf numFmtId="0" fontId="10" fillId="9" borderId="0" xfId="0" applyNumberFormat="1" applyFont="1" applyFill="1" applyBorder="1"/>
    <x:xf numFmtId="0" fontId="10" fillId="9" borderId="0" xfId="0" applyNumberFormat="1" applyFont="1" applyFill="1" applyBorder="1" applyAlignment="1">
      <x:alignment horizontal="center"/>
    </x:xf>
    <x:xf numFmtId="0" fontId="10" fillId="9" borderId="1" xfId="0" applyNumberFormat="1" applyFont="1" applyFill="1" applyBorder="1"/>
    <x:xf numFmtId="0" fontId="10" fillId="9" borderId="1" xfId="0" applyNumberFormat="1" applyFont="1" applyFill="1" applyBorder="1" applyAlignment="1">
      <x:alignment horizontal="center"/>
    </x:xf>
    <x:xf numFmtId="0" fontId="11" fillId="9" borderId="0" xfId="0" applyNumberFormat="1" applyFont="1" applyFill="1" applyBorder="1"/>
    <x:xf numFmtId="0" fontId="11" fillId="9" borderId="0" xfId="0" applyNumberFormat="1" applyFont="1" applyFill="1" applyBorder="1" applyAlignment="1">
      <x:alignment horizontal="center"/>
    </x:xf>
    <x:xf numFmtId="0" fontId="11" fillId="9" borderId="1" xfId="0" applyNumberFormat="1" applyFont="1" applyFill="1" applyBorder="1"/>
    <x:xf numFmtId="0" fontId="11" fillId="9" borderId="1" xfId="0" applyNumberFormat="1" applyFont="1" applyFill="1" applyBorder="1" applyAlignment="1">
      <x:alignment horizontal="center"/>
    </x:xf>
    <x:xf numFmtId="0" fontId="9" fillId="9" borderId="0" xfId="0" applyNumberFormat="1" applyFont="1" applyFill="1" applyBorder="1" applyAlignment="1">
      <x:alignment horizontal="center"/>
    </x:xf>
    <x:xf numFmtId="0" fontId="9" fillId="9" borderId="1" xfId="0" applyNumberFormat="1" applyFont="1" applyFill="1" applyBorder="1" applyAlignment="1">
      <x:alignment horizontal="center"/>
    </x:xf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12" fillId="5" borderId="0" xfId="0" applyNumberFormat="1" applyFont="1" applyFill="1" applyBorder="1"/>
    <x:xf numFmtId="0" fontId="12" fillId="5" borderId="0" xfId="0" applyNumberFormat="1" applyFont="1" applyFill="1" applyBorder="1" applyAlignment="1">
      <x:alignment wrapText="1"/>
    </x:xf>
    <x:xf numFmtId="0" fontId="12" fillId="5" borderId="0" xfId="0" applyNumberFormat="1" applyFont="1" applyFill="1" applyBorder="1" applyAlignment="1">
      <x:alignment horizontal="center" wrapText="1"/>
    </x:xf>
    <x:xf numFmtId="0" fontId="12" fillId="5" borderId="0" xfId="0" applyNumberFormat="1" applyFont="1" applyFill="1" applyBorder="1" applyAlignment="1">
      <x:alignment horizontal="center" vertical="center" wrapText="1"/>
    </x:xf>
    <x:xf numFmtId="0" fontId="12" fillId="5" borderId="1" xfId="0" applyNumberFormat="1" applyFont="1" applyFill="1" applyBorder="1"/>
    <x:xf numFmtId="0" fontId="12" fillId="5" borderId="1" xfId="0" applyNumberFormat="1" applyFont="1" applyFill="1" applyBorder="1" applyAlignment="1">
      <x:alignment wrapText="1"/>
    </x:xf>
    <x:xf numFmtId="0" fontId="12" fillId="5" borderId="1" xfId="0" applyNumberFormat="1" applyFont="1" applyFill="1" applyBorder="1" applyAlignment="1">
      <x:alignment horizontal="center" wrapText="1"/>
    </x:xf>
    <x:xf numFmtId="0" fontId="12" fillId="5" borderId="1" xfId="0" applyNumberFormat="1" applyFont="1" applyFill="1" applyBorder="1" applyAlignment="1">
      <x:alignment horizontal="center" vertical="center" wrapText="1"/>
    </x:xf>
    <x:xf numFmtId="0" fontId="13" fillId="9" borderId="0" xfId="0" applyNumberFormat="1" applyFont="1" applyFill="1" applyBorder="1"/>
    <x:xf numFmtId="0" fontId="13" fillId="9" borderId="0" xfId="0" applyNumberFormat="1" applyFont="1" applyFill="1" applyBorder="1" applyAlignment="1">
      <x:alignment wrapText="1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1" xfId="0" applyNumberFormat="1" applyFont="1" applyFill="1" applyBorder="1"/>
    <x:xf numFmtId="0" fontId="13" fillId="9" borderId="1" xfId="0" applyNumberFormat="1" applyFont="1" applyFill="1" applyBorder="1" applyAlignment="1">
      <x:alignment wrapText="1"/>
    </x:xf>
    <x:xf numFmtId="0" fontId="13" fillId="9" borderId="1" xfId="0" applyNumberFormat="1" applyFont="1" applyFill="1" applyBorder="1" applyAlignment="1">
      <x:alignment vertical="center" wrapText="1"/>
    </x:xf>
    <x:xf numFmtId="0" fontId="13" fillId="11" borderId="0" xfId="0" applyNumberFormat="1" applyFont="1" applyFill="1" applyBorder="1" applyAlignment="1">
      <x:alignment vertical="center" wrapText="1"/>
    </x:xf>
    <x:xf numFmtId="0" fontId="14" fillId="11" borderId="0" xfId="0" applyNumberFormat="1" applyFont="1" applyFill="1" applyBorder="1" applyAlignment="1">
      <x:alignment vertical="center" wrapText="1"/>
    </x:xf>
    <x:xf numFmtId="0" fontId="14" fillId="11" borderId="0" xfId="0" applyNumberFormat="1" applyFont="1" applyFill="1" applyBorder="1" applyAlignment="1">
      <x:alignment horizontal="center" vertical="center" wrapText="1"/>
    </x:xf>
    <x:xf numFmtId="0" fontId="13" fillId="11" borderId="1" xfId="0" applyNumberFormat="1" applyFont="1" applyFill="1" applyBorder="1" applyAlignment="1">
      <x:alignment vertical="center" wrapText="1"/>
    </x:xf>
    <x:xf numFmtId="0" fontId="14" fillId="11" borderId="1" xfId="0" applyNumberFormat="1" applyFont="1" applyFill="1" applyBorder="1" applyAlignment="1">
      <x:alignment vertical="center" wrapText="1"/>
    </x:xf>
    <x:xf numFmtId="0" fontId="14" fillId="11" borderId="1" xfId="0" applyNumberFormat="1" applyFont="1" applyFill="1" applyBorder="1" applyAlignment="1">
      <x:alignment horizontal="center" vertical="center" wrapText="1"/>
    </x:xf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15" fillId="9" borderId="0" xfId="0" applyNumberFormat="1" applyFont="1" applyFill="1" applyBorder="1"/>
    <x:xf numFmtId="0" fontId="15" fillId="9" borderId="0" xfId="0" applyNumberFormat="1" applyFont="1" applyFill="1" applyBorder="1" applyAlignment="1">
      <x:alignment wrapText="1"/>
    </x:xf>
    <x:xf numFmtId="0" fontId="15" fillId="9" borderId="0" xfId="0" applyNumberFormat="1" applyFont="1" applyFill="1" applyBorder="1" applyAlignment="1">
      <x:alignment vertical="center" wrapText="1"/>
    </x:xf>
    <x:xf numFmtId="0" fontId="15" fillId="9" borderId="1" xfId="0" applyNumberFormat="1" applyFont="1" applyFill="1" applyBorder="1"/>
    <x:xf numFmtId="0" fontId="15" fillId="9" borderId="1" xfId="0" applyNumberFormat="1" applyFont="1" applyFill="1" applyBorder="1" applyAlignment="1">
      <x:alignment wrapText="1"/>
    </x:xf>
    <x:xf numFmtId="0" fontId="15" fillId="9" borderId="1" xfId="0" applyNumberFormat="1" applyFont="1" applyFill="1" applyBorder="1" applyAlignment="1">
      <x:alignment vertical="center" wrapText="1"/>
    </x:xf>
    <x:xf numFmtId="0" fontId="12" fillId="5" borderId="6" xfId="0" applyNumberFormat="1" applyFont="1" applyFill="1" applyBorder="1"/>
    <x:xf numFmtId="0" fontId="12" fillId="5" borderId="6" xfId="0" applyNumberFormat="1" applyFont="1" applyFill="1" applyBorder="1" applyAlignment="1">
      <x:alignment horizontal="center"/>
    </x:xf>
    <x:xf numFmtId="0" fontId="12" fillId="5" borderId="6" xfId="0" applyNumberFormat="1" applyFont="1" applyFill="1" applyBorder="1" applyAlignment="1">
      <x:alignment horizontal="center" vertical="center"/>
    </x:xf>
    <x:xf numFmtId="0" fontId="12" fillId="5" borderId="7" xfId="0" applyNumberFormat="1" applyFont="1" applyFill="1" applyBorder="1"/>
    <x:xf numFmtId="0" fontId="12" fillId="5" borderId="7" xfId="0" applyNumberFormat="1" applyFont="1" applyFill="1" applyBorder="1" applyAlignment="1">
      <x:alignment horizontal="center"/>
    </x:xf>
    <x:xf numFmtId="0" fontId="12" fillId="5" borderId="7" xfId="0" applyNumberFormat="1" applyFont="1" applyFill="1" applyBorder="1" applyAlignment="1">
      <x:alignment horizontal="center" vertical="center"/>
    </x:xf>
    <x:xf numFmtId="0" fontId="16" fillId="10" borderId="0" xfId="0" applyNumberFormat="1" applyFont="1" applyFill="1" applyBorder="1"/>
    <x:xf numFmtId="0" fontId="16" fillId="10" borderId="0" xfId="0" applyNumberFormat="1" applyFont="1" applyFill="1" applyBorder="1" applyAlignment="1">
      <x:alignment wrapText="1"/>
    </x:xf>
    <x:xf numFmtId="0" fontId="16" fillId="10" borderId="1" xfId="0" applyNumberFormat="1" applyFont="1" applyFill="1" applyBorder="1"/>
    <x:xf numFmtId="0" fontId="16" fillId="10" borderId="1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0" fillId="2" borderId="0" xfId="0" applyNumberFormat="1" applyFont="1" applyFill="1" applyBorder="1" applyAlignment="1">
      <x:alignment wrapText="1"/>
    </x:xf>
    <x:xf numFmtId="0" fontId="3" fillId="3" borderId="2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4" fillId="6" borderId="0" xfId="0" applyNumberFormat="1" applyFont="1" applyFill="1" applyBorder="1" applyAlignment="1">
      <x:alignment horizontal="center" vertical="center" wrapText="1"/>
    </x:xf>
    <x:xf numFmtId="0" fontId="4" fillId="7" borderId="0" xfId="0" applyNumberFormat="1" applyFont="1" applyFill="1" applyBorder="1" applyAlignment="1">
      <x:alignment horizontal="center" vertical="center" wrapText="1"/>
    </x:xf>
    <x:xf numFmtId="0" fontId="4" fillId="8" borderId="0" xfId="0" applyNumberFormat="1" applyFont="1" applyFill="1" applyBorder="1" applyAlignment="1">
      <x:alignment horizontal="center" vertical="center" wrapText="1"/>
    </x:xf>
    <x:xf numFmtId="0" fontId="5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wrapText="1"/>
    </x:xf>
    <x:xf numFmtId="0" fontId="6" fillId="10" borderId="4" xfId="0" applyNumberFormat="1" applyFont="1" applyFill="1" applyBorder="1" applyAlignment="1">
      <x:alignment horizontal="center" vertical="center" wrapText="1"/>
    </x:xf>
    <x:xf numFmtId="0" fontId="8" fillId="9" borderId="0" xfId="0" applyNumberFormat="1" applyFont="1" applyFill="1" applyBorder="1" applyAlignment="1">
      <x:alignment horizontal="center" wrapText="1"/>
    </x:xf>
    <x:xf numFmtId="0" fontId="10" fillId="9" borderId="0" xfId="0" applyNumberFormat="1" applyFont="1" applyFill="1" applyBorder="1" applyAlignment="1">
      <x:alignment horizontal="center" wrapText="1"/>
    </x:xf>
    <x:xf numFmtId="0" fontId="11" fillId="9" borderId="0" xfId="0" applyNumberFormat="1" applyFont="1" applyFill="1" applyBorder="1" applyAlignment="1">
      <x:alignment horizontal="center" wrapText="1"/>
    </x:xf>
    <x:xf numFmtId="200" fontId="0" fillId="9" borderId="0" xfId="0" applyNumberFormat="1" applyFont="1" applyFill="1" applyBorder="1" applyAlignment="1">
      <x:alignment wrapText="1"/>
    </x:xf>
    <x:xf numFmtId="0" fontId="7" fillId="9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wrapText="1"/>
    </x:xf>
    <x:xf numFmtId="0" fontId="12" fillId="5" borderId="6" xfId="0" applyNumberFormat="1" applyFont="1" applyFill="1" applyBorder="1" applyAlignment="1">
      <x:alignment horizontal="center" vertical="center" wrapText="1"/>
    </x:xf>
    <x:xf numFmtId="0" fontId="1" fillId="3" borderId="1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 applyAlignment="1">
      <x:alignment wrapText="1"/>
    </x:xf>
    <x:xf numFmtId="0" fontId="3" fillId="3" borderId="3" xfId="0" applyNumberFormat="1" applyFont="1" applyFill="1" applyBorder="1" applyAlignment="1">
      <x:alignment horizontal="center" vertic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4" fillId="7" borderId="1" xfId="0" applyNumberFormat="1" applyFont="1" applyFill="1" applyBorder="1" applyAlignment="1">
      <x:alignment horizontal="center" vertical="center" wrapText="1"/>
    </x:xf>
    <x:xf numFmtId="0" fontId="4" fillId="8" borderId="1" xfId="0" applyNumberFormat="1" applyFont="1" applyFill="1" applyBorder="1" applyAlignment="1">
      <x:alignment horizontal="center" vertical="center" wrapText="1"/>
    </x:xf>
    <x:xf numFmtId="0" fontId="5" fillId="9" borderId="1" xfId="0" applyNumberFormat="1" applyFont="1" applyFill="1" applyBorder="1" applyAlignment="1">
      <x:alignment wrapText="1"/>
    </x:xf>
    <x:xf numFmtId="0" fontId="0" fillId="9" borderId="1" xfId="0" applyNumberFormat="1" applyFont="1" applyFill="1" applyBorder="1" applyAlignment="1">
      <x:alignment wrapText="1"/>
    </x:xf>
    <x:xf numFmtId="0" fontId="6" fillId="10" borderId="5" xfId="0" applyNumberFormat="1" applyFont="1" applyFill="1" applyBorder="1" applyAlignment="1">
      <x:alignment horizontal="center" vertical="center" wrapText="1"/>
    </x:xf>
    <x:xf numFmtId="0" fontId="8" fillId="9" borderId="1" xfId="0" applyNumberFormat="1" applyFont="1" applyFill="1" applyBorder="1" applyAlignment="1">
      <x:alignment horizontal="center" wrapText="1"/>
    </x:xf>
    <x:xf numFmtId="0" fontId="10" fillId="9" borderId="1" xfId="0" applyNumberFormat="1" applyFont="1" applyFill="1" applyBorder="1" applyAlignment="1">
      <x:alignment horizontal="center" wrapText="1"/>
    </x:xf>
    <x:xf numFmtId="0" fontId="11" fillId="9" borderId="1" xfId="0" applyNumberFormat="1" applyFont="1" applyFill="1" applyBorder="1" applyAlignment="1">
      <x:alignment horizontal="center" wrapText="1"/>
    </x:xf>
    <x:xf numFmtId="200" fontId="0" fillId="9" borderId="1" xfId="0" applyNumberFormat="1" applyFont="1" applyFill="1" applyBorder="1" applyAlignment="1">
      <x:alignment wrapText="1"/>
    </x:xf>
    <x:xf numFmtId="0" fontId="7" fillId="9" borderId="1" xfId="0" applyNumberFormat="1" applyFont="1" applyFill="1" applyBorder="1" applyAlignment="1">
      <x:alignment wrapText="1"/>
    </x:xf>
    <x:xf numFmtId="0" fontId="4" fillId="3" borderId="1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wrapText="1"/>
    </x:xf>
    <x:xf numFmtId="0" fontId="12" fillId="5" borderId="7" xfId="0" applyNumberFormat="1" applyFont="1" applyFill="1" applyBorder="1" applyAlignment="1">
      <x:alignment horizontal="center" vertical="center" wrapText="1"/>
    </x:xf>
    <x:xf numFmtId="0" fontId="17" fillId="3" borderId="0" xfId="0" applyNumberFormat="1" applyFont="1" applyFill="1" applyBorder="1"/>
    <x:xf numFmtId="0" fontId="17" fillId="3" borderId="0" xfId="0" applyNumberFormat="1" applyFont="1" applyFill="1" applyBorder="1" applyAlignment="1">
      <x:alignment wrapText="1"/>
    </x:xf>
    <x:xf numFmtId="0" fontId="17" fillId="3" borderId="1" xfId="0" applyNumberFormat="1" applyFont="1" applyFill="1" applyBorder="1"/>
    <x:xf numFmtId="0" fontId="17" fillId="3" borderId="1" xfId="0" applyNumberFormat="1" applyFont="1" applyFill="1" applyBorder="1" applyAlignment="1">
      <x:alignment wrapText="1"/>
    </x:xf>
    <x:xf numFmtId="0" fontId="13" fillId="10" borderId="0" xfId="0" applyNumberFormat="1" applyFont="1" applyFill="1" applyBorder="1" applyAlignment="1">
      <x:alignment vertical="center" wrapText="1"/>
    </x:xf>
    <x:xf numFmtId="0" fontId="18" fillId="10" borderId="0" xfId="0" applyNumberFormat="1" applyFont="1" applyFill="1" applyBorder="1" applyAlignment="1">
      <x:alignment vertical="center" wrapText="1"/>
    </x:xf>
    <x:xf numFmtId="0" fontId="18" fillId="10" borderId="0" xfId="0" applyNumberFormat="1" applyFont="1" applyFill="1" applyBorder="1" applyAlignment="1">
      <x:alignment horizontal="center" vertical="center" wrapText="1"/>
    </x:xf>
    <x:xf numFmtId="0" fontId="13" fillId="10" borderId="1" xfId="0" applyNumberFormat="1" applyFont="1" applyFill="1" applyBorder="1" applyAlignment="1">
      <x:alignment vertical="center" wrapText="1"/>
    </x:xf>
    <x:xf numFmtId="0" fontId="18" fillId="10" borderId="1" xfId="0" applyNumberFormat="1" applyFont="1" applyFill="1" applyBorder="1" applyAlignment="1">
      <x:alignment vertical="center" wrapText="1"/>
    </x:xf>
    <x:xf numFmtId="0" fontId="18" fillId="10" borderId="1" xfId="0" applyNumberFormat="1" applyFont="1" applyFill="1" applyBorder="1" applyAlignment="1">
      <x:alignment horizontal="center" vertical="center" wrapText="1"/>
    </x:xf>
    <x:xf numFmtId="200" fontId="18" fillId="10" borderId="0" xfId="0" applyNumberFormat="1" applyFont="1" applyFill="1" applyBorder="1" applyAlignment="1">
      <x:alignment horizontal="center" vertical="center" wrapText="1"/>
    </x:xf>
    <x:xf numFmtId="200" fontId="18" fillId="10" borderId="1" xfId="0" applyNumberFormat="1" applyFont="1" applyFill="1" applyBorder="1" applyAlignment="1">
      <x:alignment horizontal="center" vertical="center" wrapText="1"/>
    </x:xf>
    <x:xf numFmtId="200" fontId="13" fillId="9" borderId="0" xfId="0" applyNumberFormat="1" applyFont="1" applyFill="1" applyBorder="1" applyAlignment="1">
      <x:alignment vertical="center" wrapText="1"/>
    </x:xf>
    <x:xf numFmtId="200" fontId="13" fillId="9" borderId="1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19" fillId="11" borderId="0" xfId="0" applyNumberFormat="1" applyFont="1" applyFill="1" applyBorder="1"/>
    <x:xf numFmtId="0" fontId="19" fillId="11" borderId="0" xfId="0" applyNumberFormat="1" applyFont="1" applyFill="1" applyBorder="1" applyAlignment="1">
      <x:alignment wrapText="1"/>
    </x:xf>
    <x:xf numFmtId="0" fontId="0" fillId="11" borderId="1" xfId="0" applyNumberFormat="1" applyFont="1" applyFill="1" applyBorder="1"/>
    <x:xf numFmtId="0" fontId="19" fillId="11" borderId="1" xfId="0" applyNumberFormat="1" applyFont="1" applyFill="1" applyBorder="1"/>
    <x:xf numFmtId="0" fontId="19" fillId="11" borderId="1" xfId="0" applyNumberFormat="1" applyFont="1" applyFill="1" applyBorder="1" applyAlignment="1">
      <x:alignment wrapText="1"/>
    </x:xf>
    <x:xf numFmtId="0" fontId="20" fillId="9" borderId="0" xfId="0" applyNumberFormat="1" applyFont="1" applyFill="1" applyBorder="1" applyAlignment="1">
      <x:alignment vertical="center" wrapText="1"/>
    </x:xf>
    <x:xf numFmtId="0" fontId="20" fillId="9" borderId="0" xfId="0" applyNumberFormat="1" applyFont="1" applyFill="1" applyBorder="1" applyAlignment="1">
      <x:alignment horizontal="center" vertical="center" wrapText="1"/>
    </x:xf>
    <x:xf numFmtId="0" fontId="20" fillId="9" borderId="1" xfId="0" applyNumberFormat="1" applyFont="1" applyFill="1" applyBorder="1" applyAlignment="1">
      <x:alignment vertical="center" wrapText="1"/>
    </x:xf>
    <x:xf numFmtId="0" fontId="20" fillId="9" borderId="1" xfId="0" applyNumberFormat="1" applyFont="1" applyFill="1" applyBorder="1" applyAlignment="1">
      <x:alignment horizontal="center" vertical="center" wrapText="1"/>
    </x:xf>
    <x:xf numFmtId="200" fontId="13" fillId="10" borderId="0" xfId="0" applyNumberFormat="1" applyFont="1" applyFill="1" applyBorder="1" applyAlignment="1">
      <x:alignment vertical="center" wrapText="1"/>
    </x:xf>
    <x:xf numFmtId="200" fontId="13" fillId="10" borderId="1" xfId="0" applyNumberFormat="1" applyFont="1" applyFill="1" applyBorder="1" applyAlignment="1">
      <x:alignment vertical="center" wrapText="1"/>
    </x:xf>
    <x:xf numFmtId="201" fontId="13" fillId="10" borderId="0" xfId="0" applyNumberFormat="1" applyFont="1" applyFill="1" applyBorder="1" applyAlignment="1">
      <x:alignment vertical="center" wrapText="1"/>
    </x:xf>
    <x:xf numFmtId="201" fontId="13" fillId="10" borderId="1" xfId="0" applyNumberFormat="1" applyFont="1" applyFill="1" applyBorder="1" applyAlignment="1">
      <x:alignment vertical="center" wrapText="1"/>
    </x:xf>
    <x:xf numFmtId="0" fontId="20" fillId="9" borderId="8" xfId="0" applyNumberFormat="1" applyFont="1" applyFill="1" applyBorder="1" applyAlignment="1">
      <x:alignment horizontal="center" vertical="center" wrapText="1"/>
    </x:xf>
    <x:xf numFmtId="0" fontId="13" fillId="9" borderId="8" xfId="0" applyNumberFormat="1" applyFont="1" applyFill="1" applyBorder="1" applyAlignment="1">
      <x:alignment vertical="center" wrapText="1"/>
    </x:xf>
    <x:xf numFmtId="200" fontId="13" fillId="10" borderId="8" xfId="0" applyNumberFormat="1" applyFont="1" applyFill="1" applyBorder="1" applyAlignment="1">
      <x:alignment vertical="center" wrapText="1"/>
    </x:xf>
    <x:xf numFmtId="201" fontId="13" fillId="10" borderId="8" xfId="0" applyNumberFormat="1" applyFont="1" applyFill="1" applyBorder="1" applyAlignment="1">
      <x:alignment vertical="center" wrapText="1"/>
    </x:xf>
    <x:xf numFmtId="0" fontId="13" fillId="10" borderId="8" xfId="0" applyNumberFormat="1" applyFont="1" applyFill="1" applyBorder="1" applyAlignment="1">
      <x:alignment vertical="center" wrapText="1"/>
    </x:xf>
    <x:xf numFmtId="0" fontId="20" fillId="9" borderId="9" xfId="0" applyNumberFormat="1" applyFont="1" applyFill="1" applyBorder="1" applyAlignment="1">
      <x:alignment horizontal="center" vertical="center" wrapText="1"/>
    </x:xf>
    <x:xf numFmtId="0" fontId="13" fillId="9" borderId="9" xfId="0" applyNumberFormat="1" applyFont="1" applyFill="1" applyBorder="1" applyAlignment="1">
      <x:alignment vertical="center" wrapText="1"/>
    </x:xf>
    <x:xf numFmtId="200" fontId="13" fillId="10" borderId="9" xfId="0" applyNumberFormat="1" applyFont="1" applyFill="1" applyBorder="1" applyAlignment="1">
      <x:alignment vertical="center" wrapText="1"/>
    </x:xf>
    <x:xf numFmtId="201" fontId="13" fillId="10" borderId="9" xfId="0" applyNumberFormat="1" applyFont="1" applyFill="1" applyBorder="1" applyAlignment="1">
      <x:alignment vertical="center" wrapText="1"/>
    </x:xf>
    <x:xf numFmtId="0" fontId="13" fillId="10" borderId="9" xfId="0" applyNumberFormat="1" applyFont="1" applyFill="1" applyBorder="1" applyAlignment="1">
      <x:alignment vertical="center" wrapText="1"/>
    </x:xf>
    <x:xf numFmtId="0" fontId="13" fillId="12" borderId="8" xfId="0" applyNumberFormat="1" applyFont="1" applyFill="1" applyBorder="1" applyAlignment="1">
      <x:alignment vertical="center" wrapText="1"/>
    </x:xf>
    <x:xf numFmtId="0" fontId="13" fillId="12" borderId="0" xfId="0" applyNumberFormat="1" applyFont="1" applyFill="1" applyBorder="1" applyAlignment="1">
      <x:alignment vertical="center" wrapText="1"/>
    </x:xf>
    <x:xf numFmtId="0" fontId="13" fillId="12" borderId="9" xfId="0" applyNumberFormat="1" applyFont="1" applyFill="1" applyBorder="1" applyAlignment="1">
      <x:alignment vertical="center" wrapText="1"/>
    </x:xf>
    <x:xf numFmtId="0" fontId="13" fillId="12" borderId="1" xfId="0" applyNumberFormat="1" applyFont="1" applyFill="1" applyBorder="1" applyAlignment="1">
      <x:alignment vertical="center" wrapText="1"/>
    </x:xf>
    <x:xf numFmtId="0" fontId="21" fillId="12" borderId="8" xfId="0" applyNumberFormat="1" applyFont="1" applyFill="1" applyBorder="1" applyAlignment="1">
      <x:alignment vertical="center" wrapText="1"/>
    </x:xf>
    <x:xf numFmtId="0" fontId="21" fillId="12" borderId="0" xfId="0" applyNumberFormat="1" applyFont="1" applyFill="1" applyBorder="1" applyAlignment="1">
      <x:alignment vertical="center" wrapText="1"/>
    </x:xf>
    <x:xf numFmtId="0" fontId="21" fillId="12" borderId="9" xfId="0" applyNumberFormat="1" applyFont="1" applyFill="1" applyBorder="1" applyAlignment="1">
      <x:alignment vertical="center" wrapText="1"/>
    </x:xf>
    <x:xf numFmtId="0" fontId="21" fillId="12" borderId="1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vertical="top" wrapText="1"/>
    </x:xf>
    <x:xf numFmtId="0" fontId="13" fillId="9" borderId="1" xfId="0" applyNumberFormat="1" applyFont="1" applyFill="1" applyBorder="1" applyAlignment="1">
      <x:alignment vertical="top" wrapText="1"/>
    </x:xf>
    <x:xf numFmtId="200" fontId="13" fillId="9" borderId="0" xfId="0" applyNumberFormat="1" applyFont="1" applyFill="1" applyBorder="1" applyAlignment="1">
      <x:alignment vertical="top" wrapText="1"/>
    </x:xf>
    <x:xf numFmtId="200" fontId="13" fillId="9" borderId="1" xfId="0" applyNumberFormat="1" applyFont="1" applyFill="1" applyBorder="1" applyAlignment="1">
      <x:alignment vertical="top" wrapText="1"/>
    </x:xf>
    <x:xf numFmtId="202" fontId="13" fillId="9" borderId="0" xfId="0" applyNumberFormat="1" applyFont="1" applyFill="1" applyBorder="1" applyAlignment="1">
      <x:alignment vertical="top" wrapText="1"/>
    </x:xf>
    <x:xf numFmtId="202" fontId="13" fillId="9" borderId="1" xfId="0" applyNumberFormat="1" applyFont="1" applyFill="1" applyBorder="1" applyAlignment="1">
      <x:alignment vertical="top" wrapText="1"/>
    </x:xf>
    <x:xf numFmtId="202" fontId="0" fillId="2" borderId="0" xfId="0" applyNumberFormat="1" applyFont="1" applyFill="1" applyBorder="1"/>
    <x:xf numFmtId="202" fontId="0" fillId="2" borderId="1" xfId="0" applyNumberFormat="1" applyFont="1" applyFill="1" applyBorder="1"/>
    <x:xf numFmtId="200" fontId="0" fillId="2" borderId="0" xfId="0" applyNumberFormat="1" applyFont="1" applyFill="1" applyBorder="1"/>
    <x:xf numFmtId="200" fontId="0" fillId="2" borderId="1" xfId="0" applyNumberFormat="1" applyFont="1" applyFill="1" applyBorder="1"/>
    <x:xf numFmtId="202" fontId="0" fillId="9" borderId="0" xfId="0" applyNumberFormat="1" applyFont="1" applyFill="1" applyBorder="1"/>
    <x:xf numFmtId="202" fontId="13" fillId="9" borderId="0" xfId="0" applyNumberFormat="1" applyFont="1" applyFill="1" applyBorder="1"/>
    <x:xf numFmtId="200" fontId="13" fillId="9" borderId="0" xfId="0" applyNumberFormat="1" applyFont="1" applyFill="1" applyBorder="1"/>
    <x:xf numFmtId="202" fontId="0" fillId="9" borderId="1" xfId="0" applyNumberFormat="1" applyFont="1" applyFill="1" applyBorder="1"/>
    <x:xf numFmtId="202" fontId="13" fillId="9" borderId="1" xfId="0" applyNumberFormat="1" applyFont="1" applyFill="1" applyBorder="1"/>
    <x:xf numFmtId="200" fontId="13" fillId="9" borderId="1" xfId="0" applyNumberFormat="1" applyFont="1" applyFill="1" applyBorder="1"/>
    <x:xf numFmtId="0" fontId="22" fillId="9" borderId="0" xfId="0" applyNumberFormat="1" applyFont="1" applyFill="1" applyBorder="1"/>
    <x:xf numFmtId="0" fontId="22" fillId="9" borderId="1" xfId="0" applyNumberFormat="1" applyFont="1" applyFill="1" applyBorder="1"/>
    <x:xf numFmtId="0" fontId="23" fillId="9" borderId="0" xfId="0" applyNumberFormat="1" applyFont="1" applyFill="1" applyBorder="1"/>
    <x:xf numFmtId="0" fontId="23" fillId="9" borderId="0" xfId="0" applyNumberFormat="1" applyFont="1" applyFill="1" applyBorder="1" applyAlignment="1">
      <x:alignment wrapText="1"/>
    </x:xf>
    <x:xf numFmtId="0" fontId="23" fillId="9" borderId="1" xfId="0" applyNumberFormat="1" applyFont="1" applyFill="1" applyBorder="1"/>
    <x:xf numFmtId="0" fontId="23" fillId="9" borderId="1" xfId="0" applyNumberFormat="1" applyFont="1" applyFill="1" applyBorder="1" applyAlignment="1">
      <x:alignment wrapText="1"/>
    </x:xf>
    <x:xf numFmtId="0" fontId="24" fillId="9" borderId="0" xfId="0" applyNumberFormat="1" applyFont="1" applyFill="1" applyBorder="1" applyAlignment="1">
      <x:alignment wrapText="1"/>
    </x:xf>
    <x:xf numFmtId="0" fontId="24" fillId="9" borderId="1" xfId="0" applyNumberFormat="1" applyFont="1" applyFill="1" applyBorder="1" applyAlignment="1">
      <x:alignment wrapText="1"/>
    </x:xf>
    <x:xf numFmtId="0" fontId="25" fillId="10" borderId="0" xfId="0" applyNumberFormat="1" applyFont="1" applyFill="1" applyBorder="1"/>
    <x:xf numFmtId="0" fontId="25" fillId="10" borderId="0" xfId="0" applyNumberFormat="1" applyFont="1" applyFill="1" applyBorder="1" applyAlignment="1">
      <x:alignment wrapText="1"/>
    </x:xf>
    <x:xf numFmtId="0" fontId="25" fillId="10" borderId="1" xfId="0" applyNumberFormat="1" applyFont="1" applyFill="1" applyBorder="1"/>
    <x:xf numFmtId="0" fontId="25" fillId="10" borderId="1" xfId="0" applyNumberFormat="1" applyFont="1" applyFill="1" applyBorder="1" applyAlignment="1">
      <x:alignment wrapText="1"/>
    </x:xf>
    <x:xf numFmtId="0" fontId="26" fillId="10" borderId="0" xfId="0" applyNumberFormat="1" applyFont="1" applyFill="1" applyBorder="1" applyAlignment="1">
      <x:alignment wrapText="1"/>
    </x:xf>
    <x:xf numFmtId="0" fontId="26" fillId="10" borderId="1" xfId="0" applyNumberFormat="1" applyFont="1" applyFill="1" applyBorder="1" applyAlignment="1">
      <x:alignment wrapText="1"/>
    </x:xf>
    <x:xf numFmtId="0" fontId="12" fillId="3" borderId="0" xfId="0" applyNumberFormat="1" applyFont="1" applyFill="1" applyBorder="1"/>
    <x:xf numFmtId="0" fontId="12" fillId="3" borderId="0" xfId="0" applyNumberFormat="1" applyFont="1" applyFill="1" applyBorder="1" applyAlignment="1">
      <x:alignment horizontal="center"/>
    </x:xf>
    <x:xf numFmtId="0" fontId="12" fillId="3" borderId="0" xfId="0" applyNumberFormat="1" applyFont="1" applyFill="1" applyBorder="1" applyAlignment="1">
      <x:alignment horizontal="center" vertical="center"/>
    </x:xf>
    <x:xf numFmtId="0" fontId="12" fillId="3" borderId="1" xfId="0" applyNumberFormat="1" applyFont="1" applyFill="1" applyBorder="1"/>
    <x:xf numFmtId="0" fontId="12" fillId="3" borderId="1" xfId="0" applyNumberFormat="1" applyFont="1" applyFill="1" applyBorder="1" applyAlignment="1">
      <x:alignment horizontal="center"/>
    </x:xf>
    <x:xf numFmtId="0" fontId="12" fillId="3" borderId="1" xfId="0" applyNumberFormat="1" applyFont="1" applyFill="1" applyBorder="1" applyAlignment="1">
      <x:alignment horizontal="center" vertical="center"/>
    </x:xf>
    <x:xf numFmtId="0" fontId="12" fillId="3" borderId="2" xfId="0" applyNumberFormat="1" applyFont="1" applyFill="1" applyBorder="1" applyAlignment="1">
      <x:alignment horizontal="center" vertical="center"/>
    </x:xf>
    <x:xf numFmtId="0" fontId="12" fillId="3" borderId="3" xfId="0" applyNumberFormat="1" applyFont="1" applyFill="1" applyBorder="1" applyAlignment="1">
      <x:alignment horizontal="center" vertical="center"/>
    </x:xf>
    <x:xf numFmtId="0" fontId="12" fillId="4" borderId="2" xfId="0" applyNumberFormat="1" applyFont="1" applyFill="1" applyBorder="1" applyAlignment="1">
      <x:alignment horizontal="center" vertical="center"/>
    </x:xf>
    <x:xf numFmtId="0" fontId="12" fillId="4" borderId="3" xfId="0" applyNumberFormat="1" applyFont="1" applyFill="1" applyBorder="1" applyAlignment="1">
      <x:alignment horizontal="center" vertical="center"/>
    </x:xf>
    <x:xf numFmtId="0" fontId="4" fillId="3" borderId="0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vertical="center" wrapText="1"/>
    </x:xf>
    <x:xf numFmtId="0" fontId="17" fillId="3" borderId="0" xfId="0" applyNumberFormat="1" applyFont="1" applyFill="1" applyBorder="1" applyAlignment="1">
      <x:alignment vertical="center" wrapText="1"/>
    </x:xf>
    <x:xf numFmtId="0" fontId="17" fillId="3" borderId="1" xfId="0" applyNumberFormat="1" applyFont="1" applyFill="1" applyBorder="1" applyAlignment="1">
      <x:alignment vertical="center" wrapText="1"/>
    </x:xf>
    <x:xf numFmtId="0" fontId="16" fillId="10" borderId="0" xfId="0" applyNumberFormat="1" applyFont="1" applyFill="1" applyBorder="1" applyAlignment="1">
      <x:alignment vertical="center" wrapText="1"/>
    </x:xf>
    <x:xf numFmtId="0" fontId="16" fillId="10" borderId="1" xfId="0" applyNumberFormat="1" applyFont="1" applyFill="1" applyBorder="1" applyAlignment="1">
      <x:alignment vertical="center" wrapText="1"/>
    </x:xf>
    <x:xf numFmtId="0" fontId="19" fillId="11" borderId="0" xfId="0" applyNumberFormat="1" applyFont="1" applyFill="1" applyBorder="1" applyAlignment="1">
      <x:alignment vertical="center" wrapText="1"/>
    </x:xf>
    <x:xf numFmtId="0" fontId="19" fillId="11" borderId="1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/>
    </x:xf>
    <x:xf numFmtId="0" fontId="3" fillId="4" borderId="1" xfId="0" applyNumberFormat="1" applyFont="1" applyFill="1" applyBorder="1" applyAlignment="1">
      <x:alignment vertical="center"/>
    </x:xf>
    <x:xf numFmtId="0" fontId="14" fillId="11" borderId="0" xfId="0" applyNumberFormat="1" applyFont="1" applyFill="1" applyBorder="1" applyAlignment="1">
      <x:alignment horizontal="center" vertical="center" wrapText="0"/>
    </x:xf>
    <x:xf numFmtId="0" fontId="14" fillId="11" borderId="1" xfId="0" applyNumberFormat="1" applyFont="1" applyFill="1" applyBorder="1" applyAlignment="1">
      <x:alignment horizontal="center" vertical="center" wrapText="0"/>
    </x:xf>
    <x:xf numFmtId="0" fontId="3" fillId="4" borderId="2" xfId="0" applyNumberFormat="1" applyFont="1" applyFill="1" applyBorder="1" applyAlignment="1">
      <x:alignment horizontal="center" vertical="center" wrapText="0"/>
    </x:xf>
    <x:xf numFmtId="0" fontId="0" fillId="2" borderId="0" xfId="0" applyNumberFormat="1" applyFont="1" applyFill="1" applyBorder="1" applyAlignment="1">
      <x:alignment wrapText="0"/>
    </x:xf>
    <x:xf numFmtId="0" fontId="3" fillId="3" borderId="2" xfId="0" applyNumberFormat="1" applyFont="1" applyFill="1" applyBorder="1" applyAlignment="1">
      <x:alignment horizontal="center" vertical="center" wrapText="0"/>
    </x:xf>
    <x:xf numFmtId="0" fontId="3" fillId="4" borderId="3" xfId="0" applyNumberFormat="1" applyFont="1" applyFill="1" applyBorder="1" applyAlignment="1">
      <x:alignment horizontal="center" vertical="center" wrapText="0"/>
    </x:xf>
    <x:xf numFmtId="0" fontId="0" fillId="2" borderId="1" xfId="0" applyNumberFormat="1" applyFont="1" applyFill="1" applyBorder="1" applyAlignment="1">
      <x:alignment wrapText="0"/>
    </x:xf>
    <x:xf numFmtId="0" fontId="3" fillId="3" borderId="3" xfId="0" applyNumberFormat="1" applyFont="1" applyFill="1" applyBorder="1" applyAlignment="1">
      <x:alignment horizontal="center" vertical="center" wrapText="0"/>
    </x:xf>
    <x:xf numFmtId="0" fontId="12" fillId="5" borderId="6" xfId="0" applyNumberFormat="1" applyFont="1" applyFill="1" applyBorder="1" applyAlignment="1">
      <x:alignment horizontal="center" vertical="center" wrapText="0"/>
    </x:xf>
    <x:xf numFmtId="0" fontId="12" fillId="5" borderId="7" xfId="0" applyNumberFormat="1" applyFont="1" applyFill="1" applyBorder="1" applyAlignment="1">
      <x:alignment horizontal="center" vertical="center" wrapText="0"/>
    </x:xf>
    <x:xf numFmtId="0" fontId="13" fillId="9" borderId="10" xfId="0" applyNumberFormat="1" applyFont="1" applyFill="1" applyBorder="1" applyAlignment="1">
      <x:alignment vertical="center" wrapText="1"/>
    </x:xf>
    <x:xf numFmtId="0" fontId="14" fillId="11" borderId="10" xfId="0" applyNumberFormat="1" applyFont="1" applyFill="1" applyBorder="1" applyAlignment="1">
      <x:alignment horizontal="center" vertical="center" wrapText="0"/>
    </x:xf>
    <x:xf numFmtId="0" fontId="13" fillId="9" borderId="11" xfId="0" applyNumberFormat="1" applyFont="1" applyFill="1" applyBorder="1" applyAlignment="1">
      <x:alignment vertical="center" wrapText="1"/>
    </x:xf>
    <x:xf numFmtId="0" fontId="14" fillId="11" borderId="11" xfId="0" applyNumberFormat="1" applyFont="1" applyFill="1" applyBorder="1" applyAlignment="1">
      <x:alignment horizontal="center" vertical="center" wrapText="0"/>
    </x:xf>
    <x:xf numFmtId="0" fontId="18" fillId="10" borderId="10" xfId="0" applyNumberFormat="1" applyFont="1" applyFill="1" applyBorder="1" applyAlignment="1">
      <x:alignment horizontal="center" vertical="center" wrapText="1"/>
    </x:xf>
    <x:xf numFmtId="200" fontId="18" fillId="10" borderId="10" xfId="0" applyNumberFormat="1" applyFont="1" applyFill="1" applyBorder="1" applyAlignment="1">
      <x:alignment horizontal="center" vertical="center" wrapText="1"/>
    </x:xf>
    <x:xf numFmtId="200" fontId="13" fillId="9" borderId="10" xfId="0" applyNumberFormat="1" applyFont="1" applyFill="1" applyBorder="1" applyAlignment="1">
      <x:alignment vertical="center" wrapText="1"/>
    </x:xf>
    <x:xf numFmtId="0" fontId="14" fillId="11" borderId="10" xfId="0" applyNumberFormat="1" applyFont="1" applyFill="1" applyBorder="1" applyAlignment="1">
      <x:alignment horizontal="center" vertical="center" wrapText="1"/>
    </x:xf>
    <x:xf numFmtId="0" fontId="18" fillId="10" borderId="11" xfId="0" applyNumberFormat="1" applyFont="1" applyFill="1" applyBorder="1" applyAlignment="1">
      <x:alignment horizontal="center" vertical="center" wrapText="1"/>
    </x:xf>
    <x:xf numFmtId="200" fontId="18" fillId="10" borderId="11" xfId="0" applyNumberFormat="1" applyFont="1" applyFill="1" applyBorder="1" applyAlignment="1">
      <x:alignment horizontal="center" vertical="center" wrapText="1"/>
    </x:xf>
    <x:xf numFmtId="200" fontId="13" fillId="9" borderId="11" xfId="0" applyNumberFormat="1" applyFont="1" applyFill="1" applyBorder="1" applyAlignment="1">
      <x:alignment vertical="center" wrapText="1"/>
    </x:xf>
    <x:xf numFmtId="0" fontId="14" fillId="11" borderId="11" xfId="0" applyNumberFormat="1" applyFont="1" applyFill="1" applyBorder="1" applyAlignment="1">
      <x:alignment horizontal="center" vertical="center" wrapText="1"/>
    </x:xf>
    <x:xf numFmtId="0" fontId="20" fillId="9" borderId="10" xfId="0" applyNumberFormat="1" applyFont="1" applyFill="1" applyBorder="1" applyAlignment="1">
      <x:alignment horizontal="center" vertical="center" wrapText="1"/>
    </x:xf>
    <x:xf numFmtId="200" fontId="13" fillId="10" borderId="10" xfId="0" applyNumberFormat="1" applyFont="1" applyFill="1" applyBorder="1" applyAlignment="1">
      <x:alignment vertical="center" wrapText="1"/>
    </x:xf>
    <x:xf numFmtId="201" fontId="13" fillId="10" borderId="10" xfId="0" applyNumberFormat="1" applyFont="1" applyFill="1" applyBorder="1" applyAlignment="1">
      <x:alignment vertical="center" wrapText="1"/>
    </x:xf>
    <x:xf numFmtId="0" fontId="13" fillId="10" borderId="10" xfId="0" applyNumberFormat="1" applyFont="1" applyFill="1" applyBorder="1" applyAlignment="1">
      <x:alignment vertical="center" wrapText="1"/>
    </x:xf>
    <x:xf numFmtId="0" fontId="20" fillId="9" borderId="11" xfId="0" applyNumberFormat="1" applyFont="1" applyFill="1" applyBorder="1" applyAlignment="1">
      <x:alignment horizontal="center" vertical="center" wrapText="1"/>
    </x:xf>
    <x:xf numFmtId="200" fontId="13" fillId="10" borderId="11" xfId="0" applyNumberFormat="1" applyFont="1" applyFill="1" applyBorder="1" applyAlignment="1">
      <x:alignment vertical="center" wrapText="1"/>
    </x:xf>
    <x:xf numFmtId="201" fontId="13" fillId="10" borderId="11" xfId="0" applyNumberFormat="1" applyFont="1" applyFill="1" applyBorder="1" applyAlignment="1">
      <x:alignment vertical="center" wrapText="1"/>
    </x:xf>
    <x:xf numFmtId="0" fontId="13" fillId="10" borderId="11" xfId="0" applyNumberFormat="1" applyFont="1" applyFill="1" applyBorder="1" applyAlignment="1">
      <x:alignment vertical="center" wrapText="1"/>
    </x:xf>
    <x:xf numFmtId="200" fontId="13" fillId="9" borderId="10" xfId="0" applyNumberFormat="1" applyFont="1" applyFill="1" applyBorder="1" applyAlignment="1">
      <x:alignment vertical="top" wrapText="1"/>
    </x:xf>
    <x:xf numFmtId="0" fontId="13" fillId="9" borderId="10" xfId="0" applyNumberFormat="1" applyFont="1" applyFill="1" applyBorder="1" applyAlignment="1">
      <x:alignment vertical="top" wrapText="1"/>
    </x:xf>
    <x:xf numFmtId="202" fontId="13" fillId="9" borderId="10" xfId="0" applyNumberFormat="1" applyFont="1" applyFill="1" applyBorder="1" applyAlignment="1">
      <x:alignment vertical="top" wrapText="1"/>
    </x:xf>
    <x:xf numFmtId="200" fontId="13" fillId="9" borderId="11" xfId="0" applyNumberFormat="1" applyFont="1" applyFill="1" applyBorder="1" applyAlignment="1">
      <x:alignment vertical="top" wrapText="1"/>
    </x:xf>
    <x:xf numFmtId="0" fontId="13" fillId="9" borderId="11" xfId="0" applyNumberFormat="1" applyFont="1" applyFill="1" applyBorder="1" applyAlignment="1">
      <x:alignment vertical="top" wrapText="1"/>
    </x:xf>
    <x:xf numFmtId="202" fontId="13" fillId="9" borderId="11" xfId="0" applyNumberFormat="1" applyFont="1" applyFill="1" applyBorder="1" applyAlignment="1">
      <x:alignment vertical="top" wrapText="1"/>
    </x:xf>
    <x:xf numFmtId="0" fontId="0" fillId="2" borderId="0" xfId="0" applyNumberFormat="1" applyFont="1" applyFill="1" applyBorder="1" applyAlignment="1">
      <x:alignment horizontal="center" wrapText="0"/>
    </x:xf>
    <x:xf numFmtId="0" fontId="0" fillId="2" borderId="1" xfId="0" applyNumberFormat="1" applyFont="1" applyFill="1" applyBorder="1" applyAlignment="1">
      <x:alignment horizontal="center" wrapText="0"/>
    </x:xf>
    <x:xf numFmtId="0" fontId="0" fillId="2" borderId="0" xfId="0" applyNumberFormat="1" applyFont="1" applyFill="1" applyBorder="1" applyAlignment="1">
      <x:alignment horizontal="center" vertical="center" wrapText="0"/>
    </x:xf>
    <x:xf numFmtId="0" fontId="0" fillId="2" borderId="1" xfId="0" applyNumberFormat="1" applyFont="1" applyFill="1" applyBorder="1" applyAlignment="1">
      <x:alignment horizontal="center" vertical="center" wrapText="0"/>
    </x:xf>
    <x:xf numFmtId="0" fontId="0" fillId="2" borderId="0" xfId="0" applyNumberFormat="1" applyFont="1" applyFill="1" applyBorder="1" applyAlignment="1">
      <x:alignment horizontal="center"/>
    </x:xf>
    <x:xf numFmtId="0" fontId="0" fillId="2" borderId="1" xfId="0" applyNumberFormat="1" applyFont="1" applyFill="1" applyBorder="1" applyAlignment="1">
      <x:alignment horizontal="center"/>
    </x:xf>
    <x:xf numFmtId="0" fontId="0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 applyAlignment="1">
      <x:alignment horizontal="center" vertical="center"/>
    </x:xf>
    <x:xf numFmtId="0" fontId="3" fillId="2" borderId="2" xfId="0" applyNumberFormat="1" applyFont="1" applyFill="1" applyBorder="1" applyAlignment="1">
      <x:alignment horizontal="center" vertical="center"/>
    </x:xf>
    <x:xf numFmtId="0" fontId="15" fillId="2" borderId="0" xfId="0" applyNumberFormat="1" applyFont="1" applyFill="1" applyBorder="1"/>
    <x:xf numFmtId="0" fontId="27" fillId="2" borderId="2" xfId="0" applyNumberFormat="1" applyFont="1" applyFill="1" applyBorder="1" applyAlignment="1">
      <x:alignment horizontal="center" vertical="center"/>
    </x:xf>
    <x:xf numFmtId="0" fontId="3" fillId="2" borderId="3" xfId="0" applyNumberFormat="1" applyFont="1" applyFill="1" applyBorder="1" applyAlignment="1">
      <x:alignment horizontal="center" vertical="center"/>
    </x:xf>
    <x:xf numFmtId="0" fontId="15" fillId="2" borderId="1" xfId="0" applyNumberFormat="1" applyFont="1" applyFill="1" applyBorder="1"/>
    <x:xf numFmtId="0" fontId="27" fillId="2" borderId="3" xfId="0" applyNumberFormat="1" applyFont="1" applyFill="1" applyBorder="1" applyAlignment="1">
      <x:alignment horizontal="center" vertical="center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13" fillId="9" borderId="10" xfId="0" applyNumberFormat="1" applyFont="1" applyFill="1" applyBorder="1" applyAlignment="1">
      <x:alignment horizontal="center" vertical="center" wrapText="1"/>
    </x:xf>
    <x:xf numFmtId="0" fontId="13" fillId="9" borderId="1" xfId="0" applyNumberFormat="1" applyFont="1" applyFill="1" applyBorder="1" applyAlignment="1">
      <x:alignment horizontal="center" vertical="center" wrapText="1"/>
    </x:xf>
    <x:xf numFmtId="0" fontId="13" fillId="9" borderId="11" xfId="0" applyNumberFormat="1" applyFont="1" applyFill="1" applyBorder="1" applyAlignment="1">
      <x:alignment horizontal="center" vertical="center" wrapText="1"/>
    </x:xf>
    <x:xf numFmtId="0" fontId="13" fillId="9" borderId="12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1" fillId="13" borderId="0" xfId="0" applyNumberFormat="1" applyFont="1" applyFill="1" applyBorder="1" applyAlignment="1">
      <x:alignment vertical="center"/>
    </x:xf>
    <x:xf numFmtId="0" fontId="12" fillId="13" borderId="2" xfId="0" applyNumberFormat="1" applyFont="1" applyFill="1" applyBorder="1" applyAlignment="1">
      <x:alignment horizontal="center" vertical="center"/>
    </x:xf>
    <x:xf numFmtId="0" fontId="12" fillId="13" borderId="0" xfId="0" applyNumberFormat="1" applyFont="1" applyFill="1" applyBorder="1" applyAlignment="1">
      <x:alignment horizontal="center" vertical="center"/>
    </x:xf>
    <x:xf numFmtId="0" fontId="3" fillId="13" borderId="2" xfId="0" applyNumberFormat="1" applyFont="1" applyFill="1" applyBorder="1" applyAlignment="1">
      <x:alignment horizontal="center" vertical="center"/>
    </x:xf>
    <x:xf numFmtId="0" fontId="3" fillId="13" borderId="0" xfId="0" applyNumberFormat="1" applyFont="1" applyFill="1" applyBorder="1" applyAlignment="1">
      <x:alignment horizontal="center" vertical="center"/>
    </x:xf>
    <x:xf numFmtId="0" fontId="3" fillId="14" borderId="2" xfId="0" applyNumberFormat="1" applyFont="1" applyFill="1" applyBorder="1" applyAlignment="1">
      <x:alignment horizontal="center" vertical="center"/>
    </x:xf>
    <x:xf numFmtId="0" fontId="23" fillId="9" borderId="0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 applyAlignment="1">
      <x:alignment vertical="center" wrapText="1"/>
    </x:xf>
    <x:xf numFmtId="0" fontId="25" fillId="10" borderId="0" xfId="0" applyNumberFormat="1" applyFont="1" applyFill="1" applyBorder="1" applyAlignment="1">
      <x:alignment vertical="center" wrapText="1"/>
    </x:xf>
    <x:xf numFmtId="0" fontId="4" fillId="14" borderId="0" xfId="0" applyNumberFormat="1" applyFont="1" applyFill="1" applyBorder="1"/>
    <x:xf numFmtId="0" fontId="4" fillId="14" borderId="0" xfId="0" applyNumberFormat="1" applyFont="1" applyFill="1" applyBorder="1" applyAlignment="1">
      <x:alignment vertical="center"/>
    </x:xf>
    <x:xf numFmtId="0" fontId="4" fillId="15" borderId="0" xfId="0" applyNumberFormat="1" applyFont="1" applyFill="1" applyBorder="1"/>
    <x:xf numFmtId="0" fontId="4" fillId="15" borderId="0" xfId="0" applyNumberFormat="1" applyFont="1" applyFill="1" applyBorder="1" applyAlignment="1">
      <x:alignment vertical="center"/>
    </x:xf>
    <x:xf numFmtId="0" fontId="28" fillId="9" borderId="0" xfId="0" applyNumberFormat="1" applyFont="1" applyFill="1" applyBorder="1" applyAlignment="1">
      <x:alignment wrapText="1"/>
    </x:xf>
    <x:xf numFmtId="0" fontId="29" fillId="2" borderId="0" xfId="0" applyNumberFormat="1" applyFont="1" applyFill="1" applyBorder="1"/>
    <x:xf numFmtId="0" fontId="29" fillId="15" borderId="0" xfId="0" applyNumberFormat="1" applyFont="1" applyFill="1" applyBorder="1" applyAlignment="1">
      <x:alignment vertical="center"/>
    </x:xf>
    <x:xf numFmtId="0" fontId="29" fillId="14" borderId="0" xfId="0" applyNumberFormat="1" applyFont="1" applyFill="1" applyBorder="1" applyAlignment="1">
      <x:alignment vertical="center"/>
    </x:xf>
    <x:xf numFmtId="0" fontId="30" fillId="10" borderId="0" xfId="0" applyNumberFormat="1" applyFont="1" applyFill="1" applyBorder="1" applyAlignment="1">
      <x:alignment wrapText="1"/>
    </x:xf>
    <x:xf numFmtId="0" fontId="31" fillId="2" borderId="0" xfId="0" applyNumberFormat="1" applyFont="1" applyFill="1" applyBorder="1" applyAlignment="1">
      <x:alignment vertical="center" wrapText="1"/>
    </x:xf>
    <x:xf numFmtId="0" fontId="28" fillId="2" borderId="0" xfId="0" applyNumberFormat="1" applyFont="1" applyFill="1" applyBorder="1"/>
    <x:xf numFmtId="0" fontId="28" fillId="15" borderId="0" xfId="0" applyNumberFormat="1" applyFont="1" applyFill="1" applyBorder="1" applyAlignment="1">
      <x:alignment vertical="center"/>
    </x:xf>
    <x:xf numFmtId="0" fontId="3" fillId="15" borderId="0" xfId="0" applyNumberFormat="1" applyFont="1" applyFill="1" applyBorder="1" applyAlignment="1">
      <x:alignment vertical="center"/>
    </x:xf>
    <x:xf numFmtId="0" fontId="31" fillId="2" borderId="0" xfId="0" applyNumberFormat="1" applyFont="1" applyFill="1" applyBorder="1"/>
    <x:xf numFmtId="0" fontId="28" fillId="14" borderId="0" xfId="0" applyNumberFormat="1" applyFont="1" applyFill="1" applyBorder="1" applyAlignment="1">
      <x:alignment vertical="center"/>
    </x:xf>
    <x:xf numFmtId="0" fontId="3" fillId="14" borderId="0" xfId="0" applyNumberFormat="1" applyFont="1" applyFill="1" applyBorder="1" applyAlignment="1">
      <x:alignment vertical="center"/>
    </x:xf>
    <x:xf numFmtId="0" fontId="28" fillId="10" borderId="0" xfId="0" applyNumberFormat="1" applyFont="1" applyFill="1" applyBorder="1" applyAlignment="1">
      <x:alignment wrapText="1"/>
    </x:xf>
    <x:xf numFmtId="0" fontId="32" fillId="10" borderId="0" xfId="0" applyNumberFormat="1" applyFont="1" applyFill="1" applyBorder="1" applyAlignment="1">
      <x:alignment vertical="center" wrapText="1"/>
    </x:xf>
    <x:xf numFmtId="0" fontId="28" fillId="2" borderId="0" xfId="0" applyNumberFormat="1" applyFont="1" applyFill="1" applyBorder="1" applyAlignment="1">
      <x:alignment wrapText="1"/>
    </x:xf>
    <x:xf numFmtId="0" fontId="28" fillId="15" borderId="0" xfId="0" applyNumberFormat="1" applyFont="1" applyFill="1" applyBorder="1" applyAlignment="1">
      <x:alignment vertical="center" wrapText="1"/>
    </x:xf>
    <x:xf numFmtId="0" fontId="3" fillId="15" borderId="0" xfId="0" applyNumberFormat="1" applyFont="1" applyFill="1" applyBorder="1" applyAlignment="1">
      <x:alignment vertical="center" wrapText="1"/>
    </x:xf>
    <x:xf numFmtId="0" fontId="31" fillId="2" borderId="0" xfId="0" applyNumberFormat="1" applyFont="1" applyFill="1" applyBorder="1" applyAlignment="1">
      <x:alignment wrapText="1"/>
    </x:xf>
    <x:xf numFmtId="0" fontId="28" fillId="14" borderId="0" xfId="0" applyNumberFormat="1" applyFont="1" applyFill="1" applyBorder="1" applyAlignment="1">
      <x:alignment vertical="center" wrapText="1"/>
    </x:xf>
    <x:xf numFmtId="0" fontId="3" fillId="14" borderId="0" xfId="0" applyNumberFormat="1" applyFont="1" applyFill="1" applyBorder="1" applyAlignment="1">
      <x:alignment vertical="center" wrapText="1"/>
    </x:xf>
    <x:xf numFmtId="0" fontId="19" fillId="16" borderId="0" xfId="0" applyNumberFormat="1" applyFont="1" applyFill="1" applyBorder="1" applyAlignment="1">
      <x:alignment vertical="center" wrapText="1"/>
    </x:xf>
    <x:xf numFmtId="0" fontId="28" fillId="16" borderId="0" xfId="0" applyNumberFormat="1" applyFont="1" applyFill="1" applyBorder="1" applyAlignment="1">
      <x:alignment vertical="center" wrapText="1"/>
    </x:xf>
    <x:xf numFmtId="0" fontId="12" fillId="15" borderId="0" xfId="0" applyNumberFormat="1" applyFont="1" applyFill="1" applyBorder="1" applyAlignment="1">
      <x:alignment horizontal="center" vertical="center" wrapText="1"/>
    </x:xf>
    <x:xf numFmtId="0" fontId="3" fillId="15" borderId="0" xfId="0" applyNumberFormat="1" applyFont="1" applyFill="1" applyBorder="1" applyAlignment="1">
      <x:alignment horizontal="center" vertical="center" wrapText="1"/>
    </x:xf>
    <x:xf numFmtId="200" fontId="13" fillId="17" borderId="8" xfId="0" applyNumberFormat="1" applyFont="1" applyFill="1" applyBorder="1" applyAlignment="1">
      <x:alignment vertical="center" wrapText="1"/>
    </x:xf>
    <x:xf numFmtId="201" fontId="13" fillId="17" borderId="8" xfId="0" applyNumberFormat="1" applyFont="1" applyFill="1" applyBorder="1" applyAlignment="1">
      <x:alignment vertical="center" wrapText="1"/>
    </x:xf>
    <x:xf numFmtId="200" fontId="13" fillId="17" borderId="0" xfId="0" applyNumberFormat="1" applyFont="1" applyFill="1" applyBorder="1" applyAlignment="1">
      <x:alignment vertical="center" wrapText="1"/>
    </x:xf>
    <x:xf numFmtId="201" fontId="13" fillId="17" borderId="0" xfId="0" applyNumberFormat="1" applyFont="1" applyFill="1" applyBorder="1" applyAlignment="1">
      <x:alignment vertical="center" wrapText="1"/>
    </x:xf>
    <x:xf numFmtId="200" fontId="13" fillId="17" borderId="10" xfId="0" applyNumberFormat="1" applyFont="1" applyFill="1" applyBorder="1" applyAlignment="1">
      <x:alignment vertical="center" wrapText="1"/>
    </x:xf>
    <x:xf numFmtId="201" fontId="13" fillId="17" borderId="10" xfId="0" applyNumberFormat="1" applyFont="1" applyFill="1" applyBorder="1" applyAlignment="1">
      <x:alignment vertical="center" wrapText="1"/>
    </x:xf>
    <x:xf numFmtId="0" fontId="13" fillId="18" borderId="8" xfId="0" applyNumberFormat="1" applyFont="1" applyFill="1" applyBorder="1" applyAlignment="1">
      <x:alignment vertical="center" wrapText="1"/>
    </x:xf>
    <x:xf numFmtId="0" fontId="13" fillId="18" borderId="0" xfId="0" applyNumberFormat="1" applyFont="1" applyFill="1" applyBorder="1" applyAlignment="1">
      <x:alignment vertical="center" wrapText="1"/>
    </x:xf>
    <x:xf numFmtId="0" fontId="13" fillId="18" borderId="10" xfId="0" applyNumberFormat="1" applyFont="1" applyFill="1" applyBorder="1" applyAlignment="1">
      <x:alignment vertical="center" wrapText="1"/>
    </x:xf>
    <x:xf numFmtId="0" fontId="20" fillId="19" borderId="8" xfId="0" applyNumberFormat="1" applyFont="1" applyFill="1" applyBorder="1" applyAlignment="1">
      <x:alignment horizontal="center" vertical="center" wrapText="1"/>
    </x:xf>
    <x:xf numFmtId="0" fontId="20" fillId="19" borderId="0" xfId="0" applyNumberFormat="1" applyFont="1" applyFill="1" applyBorder="1" applyAlignment="1">
      <x:alignment horizontal="center" vertical="center" wrapText="1"/>
    </x:xf>
    <x:xf numFmtId="0" fontId="20" fillId="19" borderId="10" xfId="0" applyNumberFormat="1" applyFont="1" applyFill="1" applyBorder="1" applyAlignment="1">
      <x:alignment horizontal="center" vertical="center" wrapText="1"/>
    </x:xf>
    <x:xf numFmtId="0" fontId="33" fillId="19" borderId="8" xfId="0" applyNumberFormat="1" applyFont="1" applyFill="1" applyBorder="1" applyAlignment="1">
      <x:alignment horizontal="center" vertical="center" wrapText="1"/>
    </x:xf>
    <x:xf numFmtId="0" fontId="33" fillId="19" borderId="0" xfId="0" applyNumberFormat="1" applyFont="1" applyFill="1" applyBorder="1" applyAlignment="1">
      <x:alignment horizontal="center" vertical="center" wrapText="1"/>
    </x:xf>
    <x:xf numFmtId="0" fontId="33" fillId="19" borderId="1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vertical="center"/>
    </x:xf>
    <x:xf numFmtId="0" fontId="0" fillId="20" borderId="0" xfId="0" applyNumberFormat="1" applyFont="1" applyFill="1" applyBorder="1"/>
    <x:xf numFmtId="0" fontId="0" fillId="13" borderId="0" xfId="0" applyNumberFormat="1" applyFont="1" applyFill="1" applyBorder="1" applyAlignment="1">
      <x:alignment horizontal="center" vertical="center"/>
    </x:xf>
    <x:xf numFmtId="0" fontId="3" fillId="14" borderId="0" xfId="0" applyNumberFormat="1" applyFont="1" applyFill="1" applyBorder="1" applyAlignment="1">
      <x:alignment horizontal="center" vertical="center"/>
    </x:xf>
    <x:xf numFmtId="0" fontId="34" fillId="16" borderId="0" xfId="0" applyNumberFormat="1" applyFont="1" applyFill="1" applyBorder="1" applyAlignment="1">
      <x:alignment vertical="center" wrapText="1"/>
    </x:xf>
    <x:xf numFmtId="0" fontId="22" fillId="19" borderId="0" xfId="0" applyNumberFormat="1" applyFont="1" applyFill="1" applyBorder="1"/>
    <x:xf numFmtId="0" fontId="13" fillId="19" borderId="0" xfId="0" applyNumberFormat="1" applyFont="1" applyFill="1" applyBorder="1"/>
    <x:xf numFmtId="0" fontId="13" fillId="19" borderId="0" xfId="0" applyNumberFormat="1" applyFont="1" applyFill="1" applyBorder="1" applyAlignment="1">
      <x:alignment horizontal="right"/>
    </x:xf>
    <x:xf numFmtId="202" fontId="13" fillId="19" borderId="0" xfId="0" applyNumberFormat="1" applyFont="1" applyFill="1" applyBorder="1"/>
    <x:xf numFmtId="202" fontId="13" fillId="19" borderId="0" xfId="0" applyNumberFormat="1" applyFont="1" applyFill="1" applyBorder="1" applyAlignment="1">
      <x:alignment horizontal="right"/>
    </x:xf>
    <x:xf numFmtId="200" fontId="13" fillId="19" borderId="0" xfId="0" applyNumberFormat="1" applyFont="1" applyFill="1" applyBorder="1"/>
    <x:xf numFmtId="200" fontId="13" fillId="19" borderId="0" xfId="0" applyNumberFormat="1" applyFont="1" applyFill="1" applyBorder="1" applyAlignment="1">
      <x:alignment horizontal="right"/>
    </x:xf>
    <x:xf numFmtId="0" fontId="1" fillId="9" borderId="0" xfId="0" applyNumberFormat="1" applyFont="1" applyFill="1" applyBorder="1" applyAlignment="1">
      <x:alignment vertical="center"/>
    </x:xf>
    <x:xf numFmtId="0" fontId="1" fillId="21" borderId="0" xfId="0" applyNumberFormat="1" applyFont="1" applyFill="1" applyBorder="1" applyAlignment="1">
      <x:alignment vertical="center" wrapText="1"/>
    </x:xf>
    <x:xf numFmtId="0" fontId="2" fillId="21" borderId="0" xfId="0" applyNumberFormat="1" applyFont="1" applyFill="1" applyBorder="1" applyAlignment="1">
      <x:alignment vertical="center" wrapText="1"/>
    </x:xf>
    <x:xf numFmtId="0" fontId="35" fillId="21" borderId="0" xfId="0" applyNumberFormat="1" applyFont="1" applyFill="1" applyBorder="1" applyAlignment="1">
      <x:alignment vertical="center" wrapText="1"/>
    </x:xf>
    <x:xf numFmtId="0" fontId="36" fillId="21" borderId="0" xfId="0" applyNumberFormat="1" applyFont="1" applyFill="1" applyBorder="1" applyAlignment="1">
      <x:alignment vertical="center" wrapText="1"/>
    </x:xf>
    <x:xf numFmtId="0" fontId="3" fillId="22" borderId="2" xfId="0" applyNumberFormat="1" applyFont="1" applyFill="1" applyBorder="1" applyAlignment="1">
      <x:alignment horizontal="center" vertical="center" wrapText="0"/>
    </x:xf>
    <x:xf numFmtId="0" fontId="0" fillId="22" borderId="0" xfId="0" applyNumberFormat="1" applyFont="1" applyFill="1" applyBorder="1" applyAlignment="1">
      <x:alignment horizontal="center" vertical="center" wrapText="0"/>
    </x:xf>
    <x:xf numFmtId="0" fontId="4" fillId="22" borderId="0" xfId="0" applyNumberFormat="1" applyFont="1" applyFill="1" applyBorder="1" applyAlignment="1">
      <x:alignment horizontal="center" vertical="center" wrapText="0"/>
    </x:xf>
    <x:xf numFmtId="0" fontId="3" fillId="23" borderId="2" xfId="0" applyNumberFormat="1" applyFont="1" applyFill="1" applyBorder="1" applyAlignment="1">
      <x:alignment horizontal="center" vertical="center" wrapText="0"/>
    </x:xf>
    <x:xf numFmtId="0" fontId="4" fillId="23" borderId="0" xfId="0" applyNumberFormat="1" applyFont="1" applyFill="1" applyBorder="1" applyAlignment="1">
      <x:alignment horizontal="center" vertical="center" wrapText="0"/>
    </x:xf>
    <x:xf numFmtId="0" fontId="4" fillId="24" borderId="0" xfId="0" applyNumberFormat="1" applyFont="1" applyFill="1" applyBorder="1" applyAlignment="1">
      <x:alignment horizontal="center" vertical="center" wrapText="1"/>
    </x:xf>
    <x:xf numFmtId="0" fontId="4" fillId="21" borderId="0" xfId="0" applyNumberFormat="1" applyFont="1" applyFill="1" applyBorder="1" applyAlignment="1">
      <x:alignment vertical="center" wrapText="1"/>
    </x:xf>
    <x:xf numFmtId="0" fontId="12" fillId="24" borderId="0" xfId="0" applyNumberFormat="1" applyFont="1" applyFill="1" applyBorder="1" applyAlignment="1">
      <x:alignment horizontal="center" vertical="center" wrapText="1"/>
    </x:xf>
    <x:xf numFmtId="0" fontId="12" fillId="24" borderId="6" xfId="0" applyNumberFormat="1" applyFont="1" applyFill="1" applyBorder="1" applyAlignment="1">
      <x:alignment horizontal="center" vertical="center" wrapText="0"/>
    </x:xf>
    <x:xf numFmtId="0" fontId="0" fillId="24" borderId="0" xfId="0" applyNumberFormat="1" applyFont="1" applyFill="1" applyBorder="1" applyAlignment="1">
      <x:alignment horizontal="center" vertical="center" wrapText="0"/>
    </x:xf>
    <x:xf numFmtId="0" fontId="4" fillId="24" borderId="0" xfId="0" applyNumberFormat="1" applyFont="1" applyFill="1" applyBorder="1" applyAlignment="1">
      <x:alignment horizontal="center" vertical="center" wrapText="0"/>
    </x:xf>
    <x:xf numFmtId="0" fontId="16" fillId="25" borderId="0" xfId="0" applyNumberFormat="1" applyFont="1" applyFill="1" applyBorder="1" applyAlignment="1">
      <x:alignment wrapText="1"/>
    </x:xf>
    <x:xf numFmtId="0" fontId="37" fillId="25" borderId="0" xfId="0" applyNumberFormat="1" applyFont="1" applyFill="1" applyBorder="1" applyAlignment="1">
      <x:alignment wrapText="1"/>
    </x:xf>
    <x:xf numFmtId="0" fontId="1" fillId="21" borderId="0" xfId="0" applyNumberFormat="1" applyFont="1" applyFill="1" applyBorder="1" applyAlignment="1">
      <x:alignment vertical="center"/>
    </x:xf>
    <x:xf numFmtId="0" fontId="3" fillId="22" borderId="2" xfId="0" applyNumberFormat="1" applyFont="1" applyFill="1" applyBorder="1" applyAlignment="1">
      <x:alignment horizontal="center" vertical="center"/>
    </x:xf>
    <x:xf numFmtId="0" fontId="0" fillId="22" borderId="0" xfId="0" applyNumberFormat="1" applyFont="1" applyFill="1" applyBorder="1" applyAlignment="1">
      <x:alignment horizontal="center" vertical="center"/>
    </x:xf>
    <x:xf numFmtId="0" fontId="0" fillId="22" borderId="0" xfId="0" applyNumberFormat="1" applyFont="1" applyFill="1" applyBorder="1"/>
    <x:xf numFmtId="0" fontId="4" fillId="22" borderId="0" xfId="0" applyNumberFormat="1" applyFont="1" applyFill="1" applyBorder="1" applyAlignment="1">
      <x:alignment horizontal="center" vertical="center"/>
    </x:xf>
    <x:xf numFmtId="0" fontId="4" fillId="22" borderId="0" xfId="0" applyNumberFormat="1" applyFont="1" applyFill="1" applyBorder="1"/>
    <x:xf numFmtId="0" fontId="3" fillId="23" borderId="2" xfId="0" applyNumberFormat="1" applyFont="1" applyFill="1" applyBorder="1" applyAlignment="1">
      <x:alignment horizontal="center" vertical="center"/>
    </x:xf>
    <x:xf numFmtId="0" fontId="4" fillId="23" borderId="0" xfId="0" applyNumberFormat="1" applyFont="1" applyFill="1" applyBorder="1" applyAlignment="1">
      <x:alignment horizontal="center" vertical="center"/>
    </x:xf>
    <x:xf numFmtId="0" fontId="12" fillId="22" borderId="2" xfId="0" applyNumberFormat="1" applyFont="1" applyFill="1" applyBorder="1" applyAlignment="1">
      <x:alignment horizontal="center" vertical="center"/>
    </x:xf>
    <x:xf numFmtId="0" fontId="12" fillId="22" borderId="0" xfId="0" applyNumberFormat="1" applyFont="1" applyFill="1" applyBorder="1" applyAlignment="1">
      <x:alignment horizontal="center" vertical="center"/>
    </x:xf>
    <x:xf numFmtId="0" fontId="15" fillId="22" borderId="0" xfId="0" applyNumberFormat="1" applyFont="1" applyFill="1" applyBorder="1"/>
    <x:xf numFmtId="0" fontId="27" fillId="22" borderId="2" xfId="0" applyNumberFormat="1" applyFont="1" applyFill="1" applyBorder="1" applyAlignment="1">
      <x:alignment horizontal="center" vertical="center"/>
    </x:xf>
    <x:xf numFmtId="0" fontId="12" fillId="23" borderId="0" xfId="0" applyNumberFormat="1" applyFont="1" applyFill="1" applyBorder="1" applyAlignment="1">
      <x:alignment horizontal="center" vertical="center"/>
    </x:xf>
    <x:xf numFmtId="0" fontId="12" fillId="23" borderId="2" xfId="0" applyNumberFormat="1" applyFont="1" applyFill="1" applyBorder="1" applyAlignment="1">
      <x:alignment horizontal="center" vertical="center"/>
    </x:xf>
    <x:xf numFmtId="0" fontId="28" fillId="25" borderId="0" xfId="0" applyNumberFormat="1" applyFont="1" applyFill="1" applyBorder="1" applyAlignment="1">
      <x:alignment vertical="center" wrapText="1"/>
    </x:xf>
    <x:xf numFmtId="0" fontId="38" fillId="25" borderId="0" xfId="0" applyNumberFormat="1" applyFont="1" applyFill="1" applyBorder="1" applyAlignment="1">
      <x:alignment vertical="center" wrapText="1"/>
    </x:xf>
    <x:xf numFmtId="0" fontId="3" fillId="24" borderId="0" xfId="0" applyNumberFormat="1" applyFont="1" applyFill="1" applyBorder="1" applyAlignment="1">
      <x:alignment horizontal="center" vertical="center" wrapText="1"/>
    </x:xf>
    <x:xf numFmtId="0" fontId="3" fillId="22" borderId="0" xfId="0" applyNumberFormat="1" applyFont="1" applyFill="1" applyBorder="1" applyAlignment="1">
      <x:alignment horizontal="center" vertical="center"/>
    </x:xf>
    <x:xf numFmtId="0" fontId="3" fillId="23" borderId="0" xfId="0" applyNumberFormat="1" applyFont="1" applyFill="1" applyBorder="1" applyAlignment="1">
      <x:alignment horizontal="center" vertical="center"/>
    </x:xf>
    <x:xf numFmtId="0" fontId="3" fillId="21" borderId="0" xfId="0" applyNumberFormat="1" applyFont="1" applyFill="1" applyBorder="1" applyAlignment="1">
      <x:alignment vertical="center"/>
    </x:xf>
    <x:xf numFmtId="0" fontId="4" fillId="24" borderId="0" xfId="0" applyNumberFormat="1" applyFont="1" applyFill="1" applyBorder="1" applyAlignment="1">
      <x:alignment vertical="center"/>
    </x:xf>
    <x:xf numFmtId="0" fontId="28" fillId="24" borderId="0" xfId="0" applyNumberFormat="1" applyFont="1" applyFill="1" applyBorder="1" applyAlignment="1">
      <x:alignment vertical="center" wrapText="1"/>
    </x:xf>
    <x:xf numFmtId="0" fontId="3" fillId="24" borderId="0" xfId="0" applyNumberFormat="1" applyFont="1" applyFill="1" applyBorder="1" applyAlignment="1">
      <x:alignment vertical="center" wrapText="1"/>
    </x:xf>
    <x:xf numFmtId="0" fontId="0" fillId="21" borderId="0" xfId="0" applyNumberFormat="1" applyFont="1" applyFill="1" applyBorder="1"/>
    <x:xf numFmtId="0" fontId="4" fillId="21" borderId="0" xfId="0" applyNumberFormat="1" applyFont="1" applyFill="1" applyBorder="1"/>
    <x:xf numFmtId="0" fontId="0" fillId="26" borderId="0" xfId="0" applyNumberFormat="1" applyFont="1" applyFill="1" applyBorder="1"/>
    <x:xf numFmtId="0" fontId="39" fillId="26" borderId="0" xfId="0" applyNumberFormat="1" applyFont="1" applyFill="1" applyBorder="1"/>
    <x:xf numFmtId="0" fontId="4" fillId="21" borderId="0" xfId="0" applyNumberFormat="1" applyFont="1" applyFill="1" applyBorder="1" applyAlignment="1">
      <x:alignment wrapText="1"/>
    </x:xf>
    <x:xf numFmtId="0" fontId="39" fillId="26" borderId="0" xfId="0" applyNumberFormat="1" applyFont="1" applyFill="1" applyBorder="1" applyAlignment="1">
      <x:alignment wrapText="1"/>
    </x:xf>
  </x:cellXfs>
  <x:cellStyles count="1">
    <x:cellStyle name="Normal" xfId="0"/>
  </x:cellStyles>
  <x:dxfs count="12">
    <x:dxf>
      <x:font>
        <x:b/>
        <x:color rgb="FFC00000"/>
      </x:font>
      <x:fill>
        <x:patternFill>
          <x:bgColor rgb="FFFCE4D6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1F2937"/>
      </x:font>
      <x:fill>
        <x:patternFill>
          <x:bgColor rgb="FFE7E6E6"/>
        </x:patternFill>
      </x:fill>
    </x:dxf>
    <x:dxf>
      <x:font>
        <x:b/>
        <x:color rgb="FFC00000"/>
      </x:font>
      <x:fill>
        <x:patternFill>
          <x:bgColor rgb="FFFCE4D6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1F2937"/>
      </x:font>
      <x:fill>
        <x:patternFill>
          <x:bgColor rgb="FFE7E6E6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5B6573"/>
      </x:font>
      <x:fill>
        <x:patternFill>
          <x:bgColor rgb="FFE7E6E6"/>
        </x:patternFill>
      </x:fill>
    </x:dxf>
    <x:dxf>
      <x:font>
        <x:b/>
        <x:color rgb="FF2E6B2E"/>
      </x:font>
      <x:fill>
        <x:patternFill>
          <x:bgColor rgb="FFE2F0D9"/>
        </x:patternFill>
      </x:fill>
    </x:dxf>
    <x:dxf>
      <x:font>
        <x:b/>
        <x:color rgb="FF65788A"/>
      </x:font>
      <x:fill>
        <x:patternFill>
          <x:bgColor rgb="FFF3F5F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434a2757ccd4997" /><Relationship Type="http://schemas.openxmlformats.org/officeDocument/2006/relationships/theme" Target="/xl/theme/theme1.xml" Id="Rdbdd70b6d51b4b8b" /><Relationship Type="http://schemas.openxmlformats.org/officeDocument/2006/relationships/sharedStrings" Target="/xl/sharedStrings.xml" Id="R834ff49463ea44d7" /><Relationship Type="http://schemas.openxmlformats.org/officeDocument/2006/relationships/worksheet" Target="/xl/worksheets/sheet1.xml" Id="R3f0e0f21d392455a" /><Relationship Type="http://schemas.openxmlformats.org/officeDocument/2006/relationships/worksheet" Target="/xl/worksheets/sheet2.xml" Id="R3949d06e98db43da" /><Relationship Type="http://schemas.openxmlformats.org/officeDocument/2006/relationships/worksheet" Target="/xl/worksheets/sheet3.xml" Id="R70bff257ec4c4dac" /><Relationship Type="http://schemas.openxmlformats.org/officeDocument/2006/relationships/worksheet" Target="/xl/worksheets/sheet4.xml" Id="R834e993eadf64103" /><Relationship Type="http://schemas.openxmlformats.org/officeDocument/2006/relationships/worksheet" Target="/xl/worksheets/sheet5.xml" Id="Rb164ac68ed7e4c04" /><Relationship Type="http://schemas.openxmlformats.org/officeDocument/2006/relationships/worksheet" Target="/xl/worksheets/sheet6.xml" Id="Re3dfdebfd1a24a2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61e83840b2334303" /></Relationships>
</file>

<file path=xl/drawings/drawing1.xml><?xml version="1.0" encoding="utf-8"?>
<xdr:wsDr xmlns:xdr="http://schemas.openxmlformats.org/drawingml/2006/spreadsheetDrawing">
  <xdr:oneCellAnchor>
    <xdr:from>
      <xdr:col>8</xdr:col>
      <xdr:colOff>114300</xdr:colOff>
      <xdr:row>0</xdr:row>
      <xdr:rowOff>28575</xdr:rowOff>
    </xdr:from>
    <xdr:ext cx="647700" cy="647700"/>
    <xdr:pic>
      <xdr:nvPicPr>
        <xdr:cNvPr id="1" name="92d530de-188f-44b8-9b78-2b3d1e56e92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1e83840b233430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594d1fad89044f9" /></Relationships>
</file>

<file path=xl/worksheets/sheet1.xml><?xml version="1.0" encoding="utf-8"?>
<x:worksheet xmlns:x="http://schemas.openxmlformats.org/spreadsheetml/2006/main">
  <x:sheetFormatPr defaultRowHeight="15"/>
  <x:cols>
    <x:col min="1" max="1" width="27" hidden="0" customWidth="1"/>
    <x:col min="2" max="2" width="16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4" hidden="0" customWidth="1"/>
    <x:col min="8" max="8" width="24" hidden="0" customWidth="1"/>
    <x:col min="9" max="9" width="24" hidden="0" customWidth="1"/>
    <x:col min="10" max="10" width="11" hidden="0" customWidth="1"/>
  </x:cols>
  <x:sheetData>
    <x:row r="1" ht="34" customHeight="1">
      <x:c r="A1" s="401" t="str">
        <x:v>FlashForge Creator 5 Maintenance</x:v>
      </x:c>
      <x:c r="B1" s="401"/>
      <x:c r="C1" s="401"/>
      <x:c r="D1" s="401"/>
      <x:c r="E1" s="401"/>
      <x:c r="F1" s="401"/>
      <x:c r="G1" s="401"/>
      <x:c r="H1" s="401"/>
      <x:c r="I1" s="401"/>
      <x:c r="J1" s="401"/>
    </x:row>
    <x:row r="2" ht="22" customHeight="1">
      <x:c r="A2" s="404" t="str">
        <x:v>Rose &amp; Paw Applications | Maintenance dashboard, checklist and service history</x:v>
      </x:c>
      <x:c r="B2" s="404"/>
      <x:c r="C2" s="404"/>
      <x:c r="D2" s="404"/>
      <x:c r="E2" s="404"/>
      <x:c r="F2" s="404"/>
      <x:c r="G2" s="404"/>
      <x:c r="H2" s="404"/>
      <x:c r="I2" s="404"/>
      <x:c r="J2" s="404"/>
    </x:row>
    <x:row r="3" ht="24" customHeight="1">
      <x:c r="A3" s="408" t="str">
        <x:v>HOME</x:v>
      </x:c>
      <x:c r="B3" s="409"/>
      <x:c r="C3" s="405" t="str">
        <x:f>IFERROR(HYPERLINK("#'Maintenance Center'!A1","MAINTENANCE"),"MAINTENANCE")</x:f>
        <x:v>MAINTENANCE</x:v>
      </x:c>
      <x:c r="D3" s="407"/>
      <x:c r="E3" s="405" t="str">
        <x:f>IFERROR(HYPERLINK("#Checklist!A1","CHECKLIST"),"CHECKLIST")</x:f>
        <x:v>CHECKLIST</x:v>
      </x:c>
      <x:c r="F3" s="407"/>
      <x:c r="G3" s="405" t="str">
        <x:f>IFERROR(HYPERLINK("#'Service Log'!A1","SERVICE LOG"),"SERVICE LOG")</x:f>
        <x:v>SERVICE LOG</x:v>
      </x:c>
      <x:c r="H3" s="407"/>
      <x:c r="I3" s="405" t="str">
        <x:f>IFERROR(HYPERLINK("#Instructions!A1","HELP"),"HELP")</x:f>
        <x:v>HELP</x:v>
      </x:c>
      <x:c r="J3" s="407"/>
    </x:row>
    <x:row r="4">
      <x:c r="A4" s="145"/>
      <x:c r="B4" s="145"/>
      <x:c r="C4" s="145"/>
      <x:c r="D4" s="145"/>
      <x:c r="E4" s="145"/>
      <x:c r="F4" s="145"/>
      <x:c r="G4" s="145"/>
      <x:c r="H4" s="145"/>
      <x:c r="I4" s="145"/>
      <x:c r="J4" s="145"/>
    </x:row>
    <x:row r="5">
      <x:c r="A5" s="410" t="str">
        <x:v>PRINTER HOURS</x:v>
      </x:c>
      <x:c r="B5" s="410"/>
      <x:c r="C5" s="410"/>
      <x:c r="D5" s="148" t="str">
        <x:v>DUE NOW</x:v>
      </x:c>
      <x:c r="E5" s="148"/>
      <x:c r="F5" s="148"/>
      <x:c r="G5" s="149" t="str">
        <x:v>COMING SOON</x:v>
      </x:c>
      <x:c r="H5" s="149"/>
      <x:c r="I5" s="150" t="str">
        <x:v>500-HOUR SERVICE</x:v>
      </x:c>
      <x:c r="J5" s="150"/>
    </x:row>
    <x:row r="6">
      <x:c r="A6" s="151" t="str">
        <x:v>Printer</x:v>
      </x:c>
      <x:c r="B6" s="152" t="str">
        <x:v>FlashForge Creator 5</x:v>
      </x:c>
      <x:c r="C6" s="152"/>
      <x:c r="D6" s="152"/>
      <x:c r="E6" s="152"/>
      <x:c r="F6" s="152"/>
      <x:c r="G6" s="152"/>
      <x:c r="H6" s="152"/>
      <x:c r="I6" s="152"/>
      <x:c r="J6" s="152"/>
    </x:row>
    <x:row r="7">
      <x:c r="A7" s="151" t="str">
        <x:v>Current hours</x:v>
      </x:c>
      <x:c r="B7" s="153"/>
      <x:c r="C7" s="152"/>
      <x:c r="D7" s="154" t="n">
        <x:f>COUNTIF('Maintenance Center'!$J$6:$J$12,"DUE")</x:f>
        <x:v>0</x:v>
      </x:c>
      <x:c r="E7" s="154"/>
      <x:c r="F7" s="154"/>
      <x:c r="G7" s="155" t="n">
        <x:f>COUNTIF('Maintenance Center'!$J$6:$J$12,"SOON")</x:f>
        <x:v>0</x:v>
      </x:c>
      <x:c r="H7" s="155"/>
      <x:c r="I7" s="156" t="str">
        <x:f>IF('Maintenance Center'!J9="DUE","DUE",TEXT(MAX(0,'Maintenance Center'!K9),"0")&amp;" h left")</x:f>
        <x:v>500 h left</x:v>
      </x:c>
      <x:c r="J7" s="156"/>
    </x:row>
    <x:row r="8">
      <x:c r="A8" s="151" t="str">
        <x:v>Today</x:v>
      </x:c>
      <x:c r="B8" s="157" t="n">
        <x:f>TODAY()</x:f>
        <x:v>46290</x:v>
      </x:c>
      <x:c r="C8" s="152"/>
      <x:c r="D8" s="88" t="str">
        <x:v>Scheduled services currently due</x:v>
      </x:c>
      <x:c r="E8" s="88"/>
      <x:c r="F8" s="88"/>
      <x:c r="G8" s="88" t="str">
        <x:v>Within 10 hours or 7 days</x:v>
      </x:c>
      <x:c r="H8" s="88"/>
      <x:c r="I8" s="88" t="str">
        <x:f>"Next due at "&amp;TEXT('Maintenance Center'!H9,"0")&amp;" h"</x:f>
        <x:v>Next due at 500 h</x:v>
      </x:c>
      <x:c r="J8" s="88"/>
    </x:row>
    <x:row r="9">
      <x:c r="A9" s="151" t="str">
        <x:v>Input</x:v>
      </x:c>
      <x:c r="B9" s="158" t="str">
        <x:f>IFERROR(HYPERLINK("#Dashboard!B7","Click B7 to update hours"),"Click B7 to update hours")</x:f>
        <x:v>Click B7 to update hours</x:v>
      </x:c>
      <x:c r="C9" s="152"/>
      <x:c r="D9" s="88"/>
      <x:c r="E9" s="88"/>
      <x:c r="F9" s="88"/>
      <x:c r="G9" s="88"/>
      <x:c r="H9" s="88"/>
      <x:c r="I9" s="152"/>
      <x:c r="J9" s="152"/>
    </x:row>
    <x:row r="10">
      <x:c r="A10" s="145"/>
      <x:c r="B10" s="145"/>
      <x:c r="C10" s="145"/>
      <x:c r="D10" s="145"/>
      <x:c r="E10" s="145"/>
      <x:c r="F10" s="145"/>
      <x:c r="G10" s="145"/>
      <x:c r="H10" s="145"/>
      <x:c r="I10" s="145"/>
      <x:c r="J10" s="145"/>
    </x:row>
    <x:row r="11">
      <x:c r="A11" s="411" t="str">
        <x:v>MAINTENANCE QUEUE</x:v>
      </x:c>
      <x:c r="B11" s="411"/>
      <x:c r="C11" s="411"/>
      <x:c r="D11" s="411"/>
      <x:c r="E11" s="411"/>
      <x:c r="F11" s="411"/>
      <x:c r="G11" s="411"/>
      <x:c r="H11" s="411"/>
      <x:c r="I11" s="411"/>
      <x:c r="J11" s="411"/>
    </x:row>
    <x:row r="12" ht="28" customHeight="1">
      <x:c r="A12" s="412" t="str">
        <x:v>Service</x:v>
      </x:c>
      <x:c r="B12" s="412" t="str">
        <x:v>Interval</x:v>
      </x:c>
      <x:c r="C12" s="412" t="str">
        <x:v>Last</x:v>
      </x:c>
      <x:c r="D12" s="412" t="str">
        <x:v>Next</x:v>
      </x:c>
      <x:c r="E12" s="412" t="str">
        <x:v>Remaining</x:v>
      </x:c>
      <x:c r="F12" s="412" t="str">
        <x:v>Status</x:v>
      </x:c>
      <x:c r="G12" s="412" t="str">
        <x:v>Progress</x:v>
      </x:c>
      <x:c r="H12" s="412" t="str">
        <x:v>Basis</x:v>
      </x:c>
      <x:c r="I12" s="412" t="str">
        <x:v>Reset</x:v>
      </x:c>
      <x:c r="J12" s="412" t="str">
        <x:v>Action</x:v>
      </x:c>
    </x:row>
    <x:row r="13" ht="34" customHeight="1">
      <x:c r="A13" s="114" t="str">
        <x:f>'Maintenance Center'!B6</x:f>
        <x:v>After-print cleanup</x:v>
      </x:c>
      <x:c r="B13" s="114" t="str">
        <x:f>'Maintenance Center'!C6</x:f>
        <x:v>After every print</x:v>
      </x:c>
      <x:c r="C13" s="114" t="str">
        <x:f>IF('Maintenance Center'!F6="","",'Maintenance Center'!F6)</x:f>
      </x:c>
      <x:c r="D13" s="114" t="str">
        <x:f>IF('Maintenance Center'!H6="","",'Maintenance Center'!H6)</x:f>
      </x:c>
      <x:c r="E13" s="114" t="str">
        <x:f>IF('Maintenance Center'!K6="","",'Maintenance Center'!K6)</x:f>
      </x:c>
      <x:c r="F13" s="114" t="str">
        <x:f>'Maintenance Center'!J6</x:f>
        <x:v>AS NEEDED</x:v>
      </x:c>
      <x:c r="G13" s="114" t="str">
        <x:f>'Maintenance Center'!M6</x:f>
        <x:v>0 / 5</x:v>
      </x:c>
      <x:c r="H13" s="114" t="str">
        <x:f>'Maintenance Center'!L6</x:f>
        <x:v>Practical routine</x:v>
      </x:c>
      <x:c r="I13" s="114" t="str">
        <x:f>'Maintenance Center'!N6</x:f>
        <x:v>When Dashboard hours advance</x:v>
      </x:c>
      <x:c r="J13" s="280" t="str">
        <x:f>IFERROR(HYPERLINK("#Checklist!A6","OPEN"),"OPEN")</x:f>
        <x:v>OPEN</x:v>
      </x:c>
    </x:row>
    <x:row r="14" ht="34" customHeight="1">
      <x:c r="A14" s="114" t="str">
        <x:f>'Maintenance Center'!B7</x:f>
        <x:v>Quick clean &amp; inspection</x:v>
      </x:c>
      <x:c r="B14" s="114" t="str">
        <x:f>'Maintenance Center'!C7</x:f>
        <x:v>50 h or 30 days</x:v>
      </x:c>
      <x:c r="C14" s="114" t="str">
        <x:f>IF('Maintenance Center'!F7="","",'Maintenance Center'!F7)</x:f>
      </x:c>
      <x:c r="D14" s="114" t="n">
        <x:f>IF('Maintenance Center'!H7="","",'Maintenance Center'!H7)</x:f>
        <x:v>50</x:v>
      </x:c>
      <x:c r="E14" s="114" t="n">
        <x:f>IF('Maintenance Center'!K7="","",'Maintenance Center'!K7)</x:f>
        <x:v>50</x:v>
      </x:c>
      <x:c r="F14" s="114" t="str">
        <x:f>'Maintenance Center'!J7</x:f>
        <x:v>OK</x:v>
      </x:c>
      <x:c r="G14" s="114" t="str">
        <x:f>'Maintenance Center'!M7</x:f>
        <x:v>0 / 7</x:v>
      </x:c>
      <x:c r="H14" s="114" t="str">
        <x:f>'Maintenance Center'!L7</x:f>
        <x:v>Practical reminder</x:v>
      </x:c>
      <x:c r="I14" s="114" t="str">
        <x:f>'Maintenance Center'!N7</x:f>
        <x:v>After Last Completed is updated</x:v>
      </x:c>
      <x:c r="J14" s="280" t="str">
        <x:f>IFERROR(HYPERLINK("#Checklist!A11","OPEN"),"OPEN")</x:f>
        <x:v>OPEN</x:v>
      </x:c>
    </x:row>
    <x:row r="15" ht="34" customHeight="1">
      <x:c r="A15" s="114" t="str">
        <x:f>'Maintenance Center'!B8</x:f>
        <x:v>Detailed preventative inspection</x:v>
      </x:c>
      <x:c r="B15" s="114" t="str">
        <x:f>'Maintenance Center'!C8</x:f>
        <x:v>150 h</x:v>
      </x:c>
      <x:c r="C15" s="114" t="str">
        <x:f>IF('Maintenance Center'!F8="","",'Maintenance Center'!F8)</x:f>
      </x:c>
      <x:c r="D15" s="114" t="n">
        <x:f>IF('Maintenance Center'!H8="","",'Maintenance Center'!H8)</x:f>
        <x:v>150</x:v>
      </x:c>
      <x:c r="E15" s="114" t="n">
        <x:f>IF('Maintenance Center'!K8="","",'Maintenance Center'!K8)</x:f>
        <x:v>150</x:v>
      </x:c>
      <x:c r="F15" s="114" t="str">
        <x:f>'Maintenance Center'!J8</x:f>
        <x:v>OK</x:v>
      </x:c>
      <x:c r="G15" s="114" t="str">
        <x:f>'Maintenance Center'!M8</x:f>
        <x:v>0 / 6</x:v>
      </x:c>
      <x:c r="H15" s="114" t="str">
        <x:f>'Maintenance Center'!L8</x:f>
        <x:v>Practical reminder</x:v>
      </x:c>
      <x:c r="I15" s="114" t="str">
        <x:f>'Maintenance Center'!N8</x:f>
        <x:v>After Last Completed is updated</x:v>
      </x:c>
      <x:c r="J15" s="280" t="str">
        <x:f>IFERROR(HYPERLINK("#Checklist!A18","OPEN"),"OPEN")</x:f>
        <x:v>OPEN</x:v>
      </x:c>
    </x:row>
    <x:row r="16" ht="34" customHeight="1">
      <x:c r="A16" s="114" t="str">
        <x:f>'Maintenance Center'!B9</x:f>
        <x:v>Toolhead positioning balls &amp; needle rollers</x:v>
      </x:c>
      <x:c r="B16" s="114" t="str">
        <x:f>'Maintenance Center'!C9</x:f>
        <x:v>500 h</x:v>
      </x:c>
      <x:c r="C16" s="114" t="str">
        <x:f>IF('Maintenance Center'!F9="","",'Maintenance Center'!F9)</x:f>
      </x:c>
      <x:c r="D16" s="114" t="n">
        <x:f>IF('Maintenance Center'!H9="","",'Maintenance Center'!H9)</x:f>
        <x:v>500</x:v>
      </x:c>
      <x:c r="E16" s="114" t="n">
        <x:f>IF('Maintenance Center'!K9="","",'Maintenance Center'!K9)</x:f>
        <x:v>500</x:v>
      </x:c>
      <x:c r="F16" s="114" t="str">
        <x:f>'Maintenance Center'!J9</x:f>
        <x:v>OK</x:v>
      </x:c>
      <x:c r="G16" s="114" t="str">
        <x:f>'Maintenance Center'!M9</x:f>
        <x:v>0 / 7</x:v>
      </x:c>
      <x:c r="H16" s="114" t="str">
        <x:f>'Maintenance Center'!L9</x:f>
        <x:v>Official FlashForge interval</x:v>
      </x:c>
      <x:c r="I16" s="114" t="str">
        <x:f>'Maintenance Center'!N9</x:f>
        <x:v>After Last Completed is updated</x:v>
      </x:c>
      <x:c r="J16" s="280" t="str">
        <x:f>IFERROR(HYPERLINK("#Checklist!A24","OPEN"),"OPEN")</x:f>
        <x:v>OPEN</x:v>
      </x:c>
    </x:row>
    <x:row r="17" ht="34" customHeight="1">
      <x:c r="A17" s="114" t="str">
        <x:f>'Maintenance Center'!B10</x:f>
        <x:v>Full mechanical inspection/service</x:v>
      </x:c>
      <x:c r="B17" s="114" t="str">
        <x:f>'Maintenance Center'!C10</x:f>
        <x:v>1,000 h</x:v>
      </x:c>
      <x:c r="C17" s="114" t="str">
        <x:f>IF('Maintenance Center'!F10="","",'Maintenance Center'!F10)</x:f>
      </x:c>
      <x:c r="D17" s="114" t="n">
        <x:f>IF('Maintenance Center'!H10="","",'Maintenance Center'!H10)</x:f>
        <x:v>1000</x:v>
      </x:c>
      <x:c r="E17" s="114" t="n">
        <x:f>IF('Maintenance Center'!K10="","",'Maintenance Center'!K10)</x:f>
        <x:v>1000</x:v>
      </x:c>
      <x:c r="F17" s="114" t="str">
        <x:f>'Maintenance Center'!J10</x:f>
        <x:v>OK</x:v>
      </x:c>
      <x:c r="G17" s="114" t="str">
        <x:f>'Maintenance Center'!M10</x:f>
        <x:v>0 / 7</x:v>
      </x:c>
      <x:c r="H17" s="114" t="str">
        <x:f>'Maintenance Center'!L10</x:f>
        <x:v>Practical reminder</x:v>
      </x:c>
      <x:c r="I17" s="114" t="str">
        <x:f>'Maintenance Center'!N10</x:f>
        <x:v>After Last Completed is updated</x:v>
      </x:c>
      <x:c r="J17" s="280" t="str">
        <x:f>IFERROR(HYPERLINK("#Checklist!A31","OPEN"),"OPEN")</x:f>
        <x:v>OPEN</x:v>
      </x:c>
    </x:row>
    <x:row r="18" ht="34" customHeight="1">
      <x:c r="A18" s="114" t="str">
        <x:f>'Maintenance Center'!B11</x:f>
        <x:v>After nozzle replacement</x:v>
      </x:c>
      <x:c r="B18" s="114" t="str">
        <x:f>'Maintenance Center'!C11</x:f>
        <x:v>Event driven</x:v>
      </x:c>
      <x:c r="C18" s="114" t="str">
        <x:f>IF('Maintenance Center'!F11="","",'Maintenance Center'!F11)</x:f>
      </x:c>
      <x:c r="D18" s="114" t="str">
        <x:f>IF('Maintenance Center'!H11="","",'Maintenance Center'!H11)</x:f>
      </x:c>
      <x:c r="E18" s="114" t="str">
        <x:f>IF('Maintenance Center'!K11="","",'Maintenance Center'!K11)</x:f>
      </x:c>
      <x:c r="F18" s="114" t="str">
        <x:f>'Maintenance Center'!J11</x:f>
        <x:v>AS NEEDED</x:v>
      </x:c>
      <x:c r="G18" s="114" t="str">
        <x:f>'Maintenance Center'!M11</x:f>
        <x:v>0 / 4</x:v>
      </x:c>
      <x:c r="H18" s="114" t="str">
        <x:f>'Maintenance Center'!L11</x:f>
        <x:v>Calibration reminder</x:v>
      </x:c>
      <x:c r="I18" s="114" t="str">
        <x:f>'Maintenance Center'!N11</x:f>
        <x:v>After Last Completed is updated</x:v>
      </x:c>
      <x:c r="J18" s="280" t="str">
        <x:f>IFERROR(HYPERLINK("#Checklist!A38","OPEN"),"OPEN")</x:f>
        <x:v>OPEN</x:v>
      </x:c>
    </x:row>
    <x:row r="19" ht="34" customHeight="1">
      <x:c r="A19" s="290" t="str">
        <x:f>'Maintenance Center'!B12</x:f>
        <x:v>Idle more than 2 days</x:v>
      </x:c>
      <x:c r="B19" s="290" t="str">
        <x:f>'Maintenance Center'!C12</x:f>
        <x:v>Event driven</x:v>
      </x:c>
      <x:c r="C19" s="290" t="str">
        <x:f>IF('Maintenance Center'!F12="","",'Maintenance Center'!F12)</x:f>
      </x:c>
      <x:c r="D19" s="290" t="str">
        <x:f>IF('Maintenance Center'!H12="","",'Maintenance Center'!H12)</x:f>
      </x:c>
      <x:c r="E19" s="290" t="str">
        <x:f>IF('Maintenance Center'!K12="","",'Maintenance Center'!K12)</x:f>
      </x:c>
      <x:c r="F19" s="290" t="str">
        <x:f>'Maintenance Center'!J12</x:f>
        <x:v>AS NEEDED</x:v>
      </x:c>
      <x:c r="G19" s="290" t="str">
        <x:f>'Maintenance Center'!M12</x:f>
        <x:v>0 / 3</x:v>
      </x:c>
      <x:c r="H19" s="290" t="str">
        <x:f>'Maintenance Center'!L12</x:f>
        <x:v>Filament storage reminder</x:v>
      </x:c>
      <x:c r="I19" s="290" t="str">
        <x:f>'Maintenance Center'!N12</x:f>
        <x:v>After Last Completed is updated</x:v>
      </x:c>
      <x:c r="J19" s="291" t="str">
        <x:f>IFERROR(HYPERLINK("#Checklist!A42","OPEN"),"OPEN")</x:f>
        <x:v>OPEN</x:v>
      </x:c>
    </x:row>
    <x:row r="20">
      <x:c r="A20" s="145"/>
      <x:c r="B20" s="145"/>
      <x:c r="C20" s="145"/>
      <x:c r="D20" s="145"/>
      <x:c r="E20" s="145"/>
      <x:c r="F20" s="145"/>
      <x:c r="G20" s="145"/>
      <x:c r="H20" s="145"/>
      <x:c r="I20" s="145"/>
      <x:c r="J20" s="145"/>
    </x:row>
    <x:row r="21">
      <x:c r="A21" s="411" t="str">
        <x:v>NEXT ACTION</x:v>
      </x:c>
      <x:c r="B21" s="411"/>
      <x:c r="C21" s="411"/>
      <x:c r="D21" s="411"/>
      <x:c r="E21" s="411"/>
      <x:c r="F21" s="411"/>
      <x:c r="G21" s="411"/>
      <x:c r="H21" s="411"/>
      <x:c r="I21" s="411"/>
      <x:c r="J21" s="411"/>
    </x:row>
    <x:row r="22" ht="28" customHeight="1">
      <x:c r="A22" s="128" t="str">
        <x:f>IFERROR("Due now: "&amp;INDEX('Maintenance Center'!$B$6:$B$12,MATCH("DUE",'Maintenance Center'!$J$6:$J$12,0)),IFERROR("Coming soon: "&amp;INDEX('Maintenance Center'!$B$6:$B$12,MATCH("SOON",'Maintenance Center'!$J$6:$J$12,0)),"No scheduled maintenance is currently due."))</x:f>
        <x:v>No scheduled maintenance is currently due.</x:v>
      </x:c>
      <x:c r="B22" s="128"/>
      <x:c r="C22" s="128"/>
      <x:c r="D22" s="128"/>
      <x:c r="E22" s="128"/>
      <x:c r="F22" s="128"/>
      <x:c r="G22" s="128"/>
      <x:c r="H22" s="128"/>
      <x:c r="I22" s="128"/>
      <x:c r="J22" s="128"/>
    </x:row>
    <x:row r="23" ht="28" customHeight="1">
      <x:c r="A23" s="128"/>
      <x:c r="B23" s="128"/>
      <x:c r="C23" s="128"/>
      <x:c r="D23" s="128"/>
      <x:c r="E23" s="128"/>
      <x:c r="F23" s="128"/>
      <x:c r="G23" s="128"/>
      <x:c r="H23" s="128"/>
      <x:c r="I23" s="128"/>
      <x:c r="J23" s="128"/>
    </x:row>
    <x:row r="24" ht="28" customHeight="1">
      <x:c r="A24" s="413" t="str">
        <x:f>IFERROR(HYPERLINK("#Dashboard!B7","UPDATE PRINT HOURS"),"UPDATE PRINT HOURS")</x:f>
        <x:v>UPDATE PRINT HOURS</x:v>
      </x:c>
      <x:c r="B24" s="415"/>
      <x:c r="C24" s="413" t="str">
        <x:f>IFERROR(HYPERLINK("#'Maintenance Center'!A1","OPEN MAINTENANCE"),"OPEN MAINTENANCE")</x:f>
        <x:v>OPEN MAINTENANCE</x:v>
      </x:c>
      <x:c r="D24" s="415"/>
      <x:c r="E24" s="413" t="str">
        <x:f>IFERROR(HYPERLINK("#Checklist!A1","OPEN CHECKLIST"),"OPEN CHECKLIST")</x:f>
        <x:v>OPEN CHECKLIST</x:v>
      </x:c>
      <x:c r="F24" s="415"/>
      <x:c r="G24" s="413" t="str">
        <x:f>IFERROR(HYPERLINK("#'Service Log'!A6","ADD SERVICE LOG"),"ADD SERVICE LOG")</x:f>
        <x:v>ADD SERVICE LOG</x:v>
      </x:c>
      <x:c r="H24" s="415"/>
      <x:c r="I24" s="413" t="str">
        <x:f>IFERROR(HYPERLINK("#Instructions!A1","HOW TO USE"),"HOW TO USE")</x:f>
        <x:v>HOW TO USE</x:v>
      </x:c>
      <x:c r="J24" s="415"/>
    </x:row>
    <x:row r="25">
      <x:c r="A25" s="145"/>
      <x:c r="B25" s="145"/>
      <x:c r="C25" s="145"/>
      <x:c r="D25" s="145"/>
      <x:c r="E25" s="145"/>
      <x:c r="F25" s="145"/>
      <x:c r="G25" s="145"/>
      <x:c r="H25" s="145"/>
      <x:c r="I25" s="145"/>
      <x:c r="J25" s="145"/>
    </x:row>
    <x:row r="26" ht="34" customHeight="1">
      <x:c r="A26" s="417" t="str">
        <x:v>Yellow cells are inputs. Status and due calculations update automatically. Keep the printer-hour total as a lifetime value and do not reset it.</x:v>
      </x:c>
      <x:c r="B26" s="417"/>
      <x:c r="C26" s="417"/>
      <x:c r="D26" s="417"/>
      <x:c r="E26" s="417"/>
      <x:c r="F26" s="417"/>
      <x:c r="G26" s="417"/>
      <x:c r="H26" s="417"/>
      <x:c r="I26" s="417"/>
      <x:c r="J26" s="417"/>
    </x:row>
    <x:row r="27">
      <x:c r="A27" s="145"/>
      <x:c r="B27" s="145"/>
      <x:c r="C27" s="145"/>
      <x:c r="D27" s="145"/>
      <x:c r="E27" s="145"/>
      <x:c r="F27" s="145"/>
      <x:c r="G27" s="145"/>
      <x:c r="H27" s="145"/>
      <x:c r="I27" s="145"/>
      <x:c r="J27" s="145"/>
    </x:row>
    <x:row r="28">
      <x:c r="A28" s="145"/>
      <x:c r="B28" s="145"/>
      <x:c r="C28" s="145"/>
      <x:c r="D28" s="145"/>
      <x:c r="E28" s="145"/>
      <x:c r="F28" s="145"/>
      <x:c r="G28" s="145"/>
      <x:c r="H28" s="145"/>
      <x:c r="I28" s="145"/>
      <x:c r="J28" s="145"/>
    </x:row>
  </x:sheetData>
  <x:mergeCells>
    <x:mergeCell ref="A1:J1"/>
    <x:mergeCell ref="A2:J2"/>
    <x:mergeCell ref="A11:J11"/>
    <x:mergeCell ref="A21:J21"/>
    <x:mergeCell ref="A22:J23"/>
    <x:mergeCell ref="A26:J26"/>
    <x:mergeCell ref="A3:B3"/>
    <x:mergeCell ref="C3:D3"/>
    <x:mergeCell ref="E3:F3"/>
    <x:mergeCell ref="G3:H3"/>
    <x:mergeCell ref="I3:J3"/>
    <x:mergeCell ref="A24:B24"/>
    <x:mergeCell ref="C24:D24"/>
    <x:mergeCell ref="E24:F24"/>
    <x:mergeCell ref="G24:H24"/>
    <x:mergeCell ref="I24:J24"/>
  </x:mergeCells>
  <x:conditionalFormatting sqref="F13:F19">
    <x:cfRule type="expression" dxfId="0" priority="1">
      <x:formula>F13="DUE"</x:formula>
    </x:cfRule>
    <x:cfRule type="expression" dxfId="1" priority="2">
      <x:formula>F13="SOON"</x:formula>
    </x:cfRule>
    <x:cfRule type="expression" dxfId="2" priority="3">
      <x:formula>F13="OK"</x:formula>
    </x:cfRule>
    <x:cfRule type="expression" dxfId="3" priority="4">
      <x:formula>F13="AS NEEDED"</x:formula>
    </x:cfRule>
  </x:conditionalFormatting>
  <x:pageMargins left="0.7" right="0.7" top="0.75" bottom="0.75" header="0.3" footer="0.3"/>
  <x:drawing xmlns:r="http://schemas.openxmlformats.org/officeDocument/2006/relationships" r:id="R3594d1fad89044f9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29" hidden="0" customWidth="1"/>
    <x:col min="3" max="3" width="17" hidden="0" customWidth="1"/>
    <x:col min="4" max="4" width="9" hidden="0" customWidth="1"/>
    <x:col min="5" max="5" width="8" hidden="0" customWidth="1"/>
    <x:col min="6" max="6" width="15" hidden="0" customWidth="1"/>
    <x:col min="7" max="7" width="16" hidden="0" customWidth="1"/>
    <x:col min="8" max="8" width="14" hidden="0" customWidth="1"/>
    <x:col min="9" max="9" width="14" hidden="0" customWidth="1"/>
    <x:col min="10" max="10" width="12" hidden="0" customWidth="1"/>
    <x:col min="11" max="11" width="16" hidden="0" customWidth="1"/>
    <x:col min="12" max="12" width="26" hidden="0" customWidth="1"/>
    <x:col min="13" max="13" width="16" hidden="0" customWidth="1"/>
    <x:col min="14" max="14" width="25" hidden="0" customWidth="1"/>
    <x:col min="15" max="15" width="10" hidden="0" customWidth="1"/>
  </x:cols>
  <x:sheetData>
    <x:row r="1">
      <x:c r="A1" s="418" t="str">
        <x:v>Maintenance Center | Rose &amp; Paw Applications</x:v>
      </x:c>
      <x:c r="B1" s="418"/>
      <x:c r="C1" s="418"/>
      <x:c r="D1" s="418"/>
      <x:c r="E1" s="418"/>
      <x:c r="F1" s="418"/>
      <x:c r="G1" s="418"/>
      <x:c r="H1" s="418"/>
      <x:c r="I1" s="418"/>
      <x:c r="J1" s="418"/>
      <x:c r="K1" s="418"/>
      <x:c r="L1" s="418"/>
      <x:c r="M1" s="418"/>
      <x:c r="N1" s="418"/>
      <x:c r="O1" s="418"/>
    </x:row>
    <x:row r="2" ht="32" customHeight="1">
      <x:c r="A2" s="272" t="str">
        <x:v>Enter completion hours and dates in the yellow fields only after a service is fully complete. This starts the next interval and resets that service checklist.</x:v>
      </x:c>
      <x:c r="B2" s="272"/>
      <x:c r="C2" s="272"/>
      <x:c r="D2" s="272"/>
      <x:c r="E2" s="272"/>
      <x:c r="F2" s="272"/>
      <x:c r="G2" s="272"/>
      <x:c r="H2" s="272"/>
      <x:c r="I2" s="272"/>
      <x:c r="J2" s="272"/>
      <x:c r="K2" s="272"/>
      <x:c r="L2" s="272"/>
      <x:c r="M2" s="272"/>
      <x:c r="N2" s="272"/>
      <x:c r="O2" s="272"/>
    </x:row>
    <x:row r="3" ht="24" customHeight="1">
      <x:c r="A3" s="419" t="str">
        <x:f>IFERROR(HYPERLINK("#Dashboard!A1","HOME"),"HOME")</x:f>
        <x:v>HOME</x:v>
      </x:c>
      <x:c r="B3" s="422"/>
      <x:c r="C3" s="424" t="str">
        <x:v>MAINTENANCE</x:v>
      </x:c>
      <x:c r="D3" s="425"/>
      <x:c r="E3" s="419" t="str">
        <x:f>IFERROR(HYPERLINK("#Checklist!A1","CHECKLIST"),"CHECKLIST")</x:f>
        <x:v>CHECKLIST</x:v>
      </x:c>
      <x:c r="F3" s="422"/>
      <x:c r="G3" s="419" t="str">
        <x:f>IFERROR(HYPERLINK("#'Service Log'!A1","SERVICE LOG"),"SERVICE LOG")</x:f>
        <x:v>SERVICE LOG</x:v>
      </x:c>
      <x:c r="H3" s="422"/>
      <x:c r="I3" s="419" t="str">
        <x:f>IFERROR(HYPERLINK("#Instructions!A1","HELP"),"HELP")</x:f>
        <x:v>HELP</x:v>
      </x:c>
      <x:c r="J3" s="422"/>
      <x:c r="K3" s="423"/>
      <x:c r="L3" s="423"/>
      <x:c r="M3" s="423"/>
      <x:c r="N3" s="423"/>
      <x:c r="O3" s="423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</x:row>
    <x:row r="5" ht="34" customHeight="1">
      <x:c r="A5" s="412" t="str">
        <x:v>ID</x:v>
      </x:c>
      <x:c r="B5" s="412" t="str">
        <x:v>Maintenance Group</x:v>
      </x:c>
      <x:c r="C5" s="412" t="str">
        <x:v>Interval</x:v>
      </x:c>
      <x:c r="D5" s="412" t="str">
        <x:v>Hours</x:v>
      </x:c>
      <x:c r="E5" s="412" t="str">
        <x:v>Days</x:v>
      </x:c>
      <x:c r="F5" s="412" t="str">
        <x:v>Last Completed Hours</x:v>
      </x:c>
      <x:c r="G5" s="412" t="str">
        <x:v>Last Completed Date</x:v>
      </x:c>
      <x:c r="H5" s="412" t="str">
        <x:v>Next Due Hours</x:v>
      </x:c>
      <x:c r="I5" s="412" t="str">
        <x:v>Next Due Date</x:v>
      </x:c>
      <x:c r="J5" s="412" t="str">
        <x:v>Status</x:v>
      </x:c>
      <x:c r="K5" s="412" t="str">
        <x:v>Hours Remaining</x:v>
      </x:c>
      <x:c r="L5" s="412" t="str">
        <x:v>Basis / Notes</x:v>
      </x:c>
      <x:c r="M5" s="412" t="str">
        <x:v>Checklist Progress</x:v>
      </x:c>
      <x:c r="N5" s="412" t="str">
        <x:v>Auto Reset</x:v>
      </x:c>
      <x:c r="O5" s="412" t="str">
        <x:v>Tasks</x:v>
      </x:c>
    </x:row>
    <x:row r="6" ht="34" customHeight="1">
      <x:c r="A6" s="114" t="str">
        <x:v>P01</x:v>
      </x:c>
      <x:c r="B6" s="114" t="str">
        <x:v>After-print cleanup</x:v>
      </x:c>
      <x:c r="C6" s="114" t="str">
        <x:v>After every print</x:v>
      </x:c>
      <x:c r="D6" s="114"/>
      <x:c r="E6" s="114"/>
      <x:c r="F6" s="188"/>
      <x:c r="G6" s="192"/>
      <x:c r="H6" s="114"/>
      <x:c r="I6" s="194"/>
      <x:c r="J6" s="114" t="str">
        <x:v>AS NEEDED</x:v>
      </x:c>
      <x:c r="K6" s="330"/>
      <x:c r="L6" s="334" t="str">
        <x:v>Practical routine</x:v>
      </x:c>
      <x:c r="M6" s="114" t="str">
        <x:f>COUNTIF(Checklist!$A$6:$A$10,"✓")&amp;" / 5"&amp;IF(COUNTIF(Checklist!$A$6:$A$10,"✓")=5,"  READY","")</x:f>
        <x:v>0 / 5</x:v>
      </x:c>
      <x:c r="N6" s="114" t="str">
        <x:v>When Dashboard hours advance</x:v>
      </x:c>
      <x:c r="O6" s="120" t="str">
        <x:f>IFERROR(HYPERLINK("#Checklist!A6","OPEN"),"OPEN")</x:f>
        <x:v>OPEN</x:v>
      </x:c>
    </x:row>
    <x:row r="7" ht="34" customHeight="1">
      <x:c r="A7" s="114" t="str">
        <x:v>Q50</x:v>
      </x:c>
      <x:c r="B7" s="114" t="str">
        <x:v>Quick clean &amp; inspection</x:v>
      </x:c>
      <x:c r="C7" s="114" t="str">
        <x:v>50 h or 30 days</x:v>
      </x:c>
      <x:c r="D7" s="114" t="n">
        <x:v>50</x:v>
      </x:c>
      <x:c r="E7" s="114" t="n">
        <x:v>30</x:v>
      </x:c>
      <x:c r="F7" s="188"/>
      <x:c r="G7" s="192"/>
      <x:c r="H7" s="114" t="n">
        <x:f>IF(D7="","",IF(F7="",D7,F7+D7))</x:f>
        <x:v>50</x:v>
      </x:c>
      <x:c r="I7" s="194" t="str">
        <x:f>IF(E7="","",IF(G7="","",G7+E7))</x:f>
      </x:c>
      <x:c r="J7" s="114" t="str">
        <x:f>IF(OR(IF(H7="",FALSE,Dashboard!$B$7&gt;=H7),IF(I7="",FALSE,Dashboard!$B$8&gt;=I7)),"DUE",IF(OR(IF(H7="",FALSE,H7-Dashboard!$B$7&lt;=10),IF(I7="",FALSE,I7-Dashboard!$B$8&lt;=7)),"SOON","OK"))</x:f>
        <x:v>OK</x:v>
      </x:c>
      <x:c r="K7" s="330" t="n">
        <x:f>IF(H7="","",H7-Dashboard!$B$7)</x:f>
        <x:v>50</x:v>
      </x:c>
      <x:c r="L7" s="334" t="str">
        <x:v>Practical reminder</x:v>
      </x:c>
      <x:c r="M7" s="114" t="str">
        <x:f>COUNTIF(Checklist!$A$11:$A$17,"✓")&amp;" / 7"&amp;IF(COUNTIF(Checklist!$A$11:$A$17,"✓")=7,"  READY","")</x:f>
        <x:v>0 / 7</x:v>
      </x:c>
      <x:c r="N7" s="114" t="str">
        <x:v>After Last Completed is updated</x:v>
      </x:c>
      <x:c r="O7" s="120" t="str">
        <x:f>IFERROR(HYPERLINK("#Checklist!A11","OPEN"),"OPEN")</x:f>
        <x:v>OPEN</x:v>
      </x:c>
    </x:row>
    <x:row r="8" ht="34" customHeight="1">
      <x:c r="A8" s="114" t="str">
        <x:v>D150</x:v>
      </x:c>
      <x:c r="B8" s="114" t="str">
        <x:v>Detailed preventative inspection</x:v>
      </x:c>
      <x:c r="C8" s="114" t="str">
        <x:v>150 h</x:v>
      </x:c>
      <x:c r="D8" s="114" t="n">
        <x:v>150</x:v>
      </x:c>
      <x:c r="E8" s="114"/>
      <x:c r="F8" s="188"/>
      <x:c r="G8" s="192"/>
      <x:c r="H8" s="114" t="n">
        <x:f>IF(D8="","",IF(F8="",D8,F8+D8))</x:f>
        <x:v>150</x:v>
      </x:c>
      <x:c r="I8" s="194" t="str">
        <x:f>IF(E8="","",IF(G8="","",G8+E8))</x:f>
      </x:c>
      <x:c r="J8" s="114" t="str">
        <x:f>IF(OR(IF(H8="",FALSE,Dashboard!$B$7&gt;=H8),IF(I8="",FALSE,Dashboard!$B$8&gt;=I8)),"DUE",IF(OR(IF(H8="",FALSE,H8-Dashboard!$B$7&lt;=10),IF(I8="",FALSE,I8-Dashboard!$B$8&lt;=7)),"SOON","OK"))</x:f>
        <x:v>OK</x:v>
      </x:c>
      <x:c r="K8" s="330" t="n">
        <x:f>IF(H8="","",H8-Dashboard!$B$7)</x:f>
        <x:v>150</x:v>
      </x:c>
      <x:c r="L8" s="334" t="str">
        <x:v>Practical reminder</x:v>
      </x:c>
      <x:c r="M8" s="114" t="str">
        <x:f>COUNTIF(Checklist!$A$18:$A$23,"✓")&amp;" / 6"&amp;IF(COUNTIF(Checklist!$A$18:$A$23,"✓")=6,"  READY","")</x:f>
        <x:v>0 / 6</x:v>
      </x:c>
      <x:c r="N8" s="114" t="str">
        <x:v>After Last Completed is updated</x:v>
      </x:c>
      <x:c r="O8" s="120" t="str">
        <x:f>IFERROR(HYPERLINK("#Checklist!A18","OPEN"),"OPEN")</x:f>
        <x:v>OPEN</x:v>
      </x:c>
    </x:row>
    <x:row r="9" ht="34" customHeight="1">
      <x:c r="A9" s="114" t="str">
        <x:v>F500</x:v>
      </x:c>
      <x:c r="B9" s="114" t="str">
        <x:v>Toolhead positioning balls &amp; needle rollers</x:v>
      </x:c>
      <x:c r="C9" s="114" t="str">
        <x:v>500 h</x:v>
      </x:c>
      <x:c r="D9" s="114" t="n">
        <x:v>500</x:v>
      </x:c>
      <x:c r="E9" s="114"/>
      <x:c r="F9" s="188"/>
      <x:c r="G9" s="192"/>
      <x:c r="H9" s="114" t="n">
        <x:f>IF(D9="","",IF(F9="",D9,F9+D9))</x:f>
        <x:v>500</x:v>
      </x:c>
      <x:c r="I9" s="194" t="str">
        <x:f>IF(E9="","",IF(G9="","",G9+E9))</x:f>
      </x:c>
      <x:c r="J9" s="114" t="str">
        <x:f>IF(OR(IF(H9="",FALSE,Dashboard!$B$7&gt;=H9),IF(I9="",FALSE,Dashboard!$B$8&gt;=I9)),"DUE",IF(OR(IF(H9="",FALSE,H9-Dashboard!$B$7&lt;=10),IF(I9="",FALSE,I9-Dashboard!$B$8&lt;=7)),"SOON","OK"))</x:f>
        <x:v>OK</x:v>
      </x:c>
      <x:c r="K9" s="330" t="n">
        <x:f>IF(H9="","",H9-Dashboard!$B$7)</x:f>
        <x:v>500</x:v>
      </x:c>
      <x:c r="L9" s="334" t="str">
        <x:v>Official FlashForge interval</x:v>
      </x:c>
      <x:c r="M9" s="114" t="str">
        <x:f>COUNTIF(Checklist!$A$24:$A$30,"✓")&amp;" / 7"&amp;IF(COUNTIF(Checklist!$A$24:$A$30,"✓")=7,"  READY","")</x:f>
        <x:v>0 / 7</x:v>
      </x:c>
      <x:c r="N9" s="114" t="str">
        <x:v>After Last Completed is updated</x:v>
      </x:c>
      <x:c r="O9" s="120" t="str">
        <x:f>IFERROR(HYPERLINK("#Checklist!A24","OPEN"),"OPEN")</x:f>
        <x:v>OPEN</x:v>
      </x:c>
    </x:row>
    <x:row r="10" ht="34" customHeight="1">
      <x:c r="A10" s="114" t="str">
        <x:v>M1000</x:v>
      </x:c>
      <x:c r="B10" s="114" t="str">
        <x:v>Full mechanical inspection/service</x:v>
      </x:c>
      <x:c r="C10" s="114" t="str">
        <x:v>1,000 h</x:v>
      </x:c>
      <x:c r="D10" s="114" t="n">
        <x:v>1000</x:v>
      </x:c>
      <x:c r="E10" s="114"/>
      <x:c r="F10" s="188"/>
      <x:c r="G10" s="192"/>
      <x:c r="H10" s="114" t="n">
        <x:f>IF(D10="","",IF(F10="",D10,F10+D10))</x:f>
        <x:v>1000</x:v>
      </x:c>
      <x:c r="I10" s="194" t="str">
        <x:f>IF(E10="","",IF(G10="","",G10+E10))</x:f>
      </x:c>
      <x:c r="J10" s="114" t="str">
        <x:f>IF(OR(IF(H10="",FALSE,Dashboard!$B$7&gt;=H10),IF(I10="",FALSE,Dashboard!$B$8&gt;=I10)),"DUE",IF(OR(IF(H10="",FALSE,H10-Dashboard!$B$7&lt;=10),IF(I10="",FALSE,I10-Dashboard!$B$8&lt;=7)),"SOON","OK"))</x:f>
        <x:v>OK</x:v>
      </x:c>
      <x:c r="K10" s="330" t="n">
        <x:f>IF(H10="","",H10-Dashboard!$B$7)</x:f>
        <x:v>1000</x:v>
      </x:c>
      <x:c r="L10" s="334" t="str">
        <x:v>Practical reminder</x:v>
      </x:c>
      <x:c r="M10" s="114" t="str">
        <x:f>COUNTIF(Checklist!$A$31:$A$37,"✓")&amp;" / 7"&amp;IF(COUNTIF(Checklist!$A$31:$A$37,"✓")=7,"  READY","")</x:f>
        <x:v>0 / 7</x:v>
      </x:c>
      <x:c r="N10" s="114" t="str">
        <x:v>After Last Completed is updated</x:v>
      </x:c>
      <x:c r="O10" s="120" t="str">
        <x:f>IFERROR(HYPERLINK("#Checklist!A31","OPEN"),"OPEN")</x:f>
        <x:v>OPEN</x:v>
      </x:c>
    </x:row>
    <x:row r="11" ht="34" customHeight="1">
      <x:c r="A11" s="114" t="str">
        <x:v>N01</x:v>
      </x:c>
      <x:c r="B11" s="114" t="str">
        <x:v>After nozzle replacement</x:v>
      </x:c>
      <x:c r="C11" s="114" t="str">
        <x:v>Event driven</x:v>
      </x:c>
      <x:c r="D11" s="114"/>
      <x:c r="E11" s="114"/>
      <x:c r="F11" s="188"/>
      <x:c r="G11" s="192"/>
      <x:c r="H11" s="114"/>
      <x:c r="I11" s="194"/>
      <x:c r="J11" s="114" t="str">
        <x:v>AS NEEDED</x:v>
      </x:c>
      <x:c r="K11" s="330"/>
      <x:c r="L11" s="334" t="str">
        <x:v>Calibration reminder</x:v>
      </x:c>
      <x:c r="M11" s="114" t="str">
        <x:f>COUNTIF(Checklist!$A$38:$A$41,"✓")&amp;" / 4"&amp;IF(COUNTIF(Checklist!$A$38:$A$41,"✓")=4,"  READY","")</x:f>
        <x:v>0 / 4</x:v>
      </x:c>
      <x:c r="N11" s="114" t="str">
        <x:v>After Last Completed is updated</x:v>
      </x:c>
      <x:c r="O11" s="120" t="str">
        <x:f>IFERROR(HYPERLINK("#Checklist!A38","OPEN"),"OPEN")</x:f>
        <x:v>OPEN</x:v>
      </x:c>
    </x:row>
    <x:row r="12" ht="34" customHeight="1">
      <x:c r="A12" s="290" t="str">
        <x:v>I02</x:v>
      </x:c>
      <x:c r="B12" s="290" t="str">
        <x:v>Idle more than 2 days</x:v>
      </x:c>
      <x:c r="C12" s="290" t="str">
        <x:v>Event driven</x:v>
      </x:c>
      <x:c r="D12" s="290"/>
      <x:c r="E12" s="290"/>
      <x:c r="F12" s="294"/>
      <x:c r="G12" s="295"/>
      <x:c r="H12" s="290"/>
      <x:c r="I12" s="296"/>
      <x:c r="J12" s="290" t="str">
        <x:v>AS NEEDED</x:v>
      </x:c>
      <x:c r="K12" s="331"/>
      <x:c r="L12" s="334" t="str">
        <x:v>Filament storage reminder</x:v>
      </x:c>
      <x:c r="M12" s="290" t="str">
        <x:f>COUNTIF(Checklist!$A$42:$A$44,"✓")&amp;" / 3"&amp;IF(COUNTIF(Checklist!$A$42:$A$44,"✓")=3,"  READY","")</x:f>
        <x:v>0 / 3</x:v>
      </x:c>
      <x:c r="N12" s="290" t="str">
        <x:v>After Last Completed is updated</x:v>
      </x:c>
      <x:c r="O12" s="297" t="str">
        <x:f>IFERROR(HYPERLINK("#Checklist!A42","OPEN"),"OPEN")</x:f>
        <x:v>OPEN</x:v>
      </x:c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</x:row>
    <x:row r="14">
      <x:c r="A14" s="274" t="str">
        <x:v>WORKFLOW: Complete the tasks in Checklist, add a Service Log entry, then update Last Completed Hours and Date above. Updating those fields resets that service checklist for its next cycle.</x:v>
      </x:c>
      <x:c r="B14" s="274"/>
      <x:c r="C14" s="274"/>
      <x:c r="D14" s="274"/>
      <x:c r="E14" s="274"/>
      <x:c r="F14" s="274"/>
      <x:c r="G14" s="274"/>
      <x:c r="H14" s="274"/>
      <x:c r="I14" s="274"/>
      <x:c r="J14" s="274"/>
      <x:c r="K14" s="274"/>
      <x:c r="L14" s="274"/>
      <x:c r="M14" s="274"/>
      <x:c r="N14" s="274"/>
      <x:c r="O14" s="274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</x:row>
  </x:sheetData>
  <x:mergeCells>
    <x:mergeCell ref="A1:O1"/>
    <x:mergeCell ref="A2:O2"/>
    <x:mergeCell ref="A14:O14"/>
    <x:mergeCell ref="A3:B3"/>
    <x:mergeCell ref="C3:D3"/>
    <x:mergeCell ref="E3:F3"/>
    <x:mergeCell ref="G3:H3"/>
    <x:mergeCell ref="I3:J3"/>
  </x:mergeCells>
  <x:conditionalFormatting sqref="J6:J12">
    <x:cfRule type="expression" dxfId="4" priority="1">
      <x:formula>J6="DUE"</x:formula>
    </x:cfRule>
    <x:cfRule type="expression" dxfId="5" priority="2">
      <x:formula>J6="SOON"</x:formula>
    </x:cfRule>
    <x:cfRule type="expression" dxfId="6" priority="3">
      <x:formula>J6="OK"</x:formula>
    </x:cfRule>
    <x:cfRule type="expression" dxfId="7" priority="4">
      <x:formula>J6="AS NEEDED"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8" hidden="0" customWidth="1"/>
    <x:col min="3" max="3" width="58" hidden="0" customWidth="1"/>
    <x:col min="4" max="4" width="19" hidden="0" customWidth="1"/>
    <x:col min="5" max="5" width="13" hidden="0" customWidth="1"/>
    <x:col min="6" max="6" width="15" hidden="0" customWidth="1"/>
    <x:col min="7" max="7" width="14" hidden="0" customWidth="1"/>
    <x:col min="8" max="8" width="34" hidden="0" customWidth="1"/>
  </x:cols>
  <x:sheetData>
    <x:row r="1" ht="34" customHeight="1">
      <x:c r="A1" s="418" t="str">
        <x:v>Service Checklist | Rose &amp; Paw Applications</x:v>
      </x:c>
      <x:c r="B1" s="418"/>
      <x:c r="C1" s="418"/>
      <x:c r="D1" s="418"/>
      <x:c r="E1" s="418"/>
      <x:c r="F1" s="418"/>
      <x:c r="G1" s="418"/>
      <x:c r="H1" s="418"/>
    </x:row>
    <x:row r="2" ht="24" customHeight="1">
      <x:c r="A2" s="426" t="str">
        <x:f>IFERROR(HYPERLINK("#Dashboard!A1","HOME"),"HOME")</x:f>
        <x:v>HOME</x:v>
      </x:c>
      <x:c r="B2" s="430" t="str">
        <x:f>IFERROR(HYPERLINK("#'Maintenance Center'!A1","MAINTENANCE"),"MAINTENANCE")</x:f>
        <x:v>MAINTENANCE</x:v>
      </x:c>
      <x:c r="C2" s="431" t="str">
        <x:v>CHECKLIST</x:v>
      </x:c>
      <x:c r="D2" s="427" t="str">
        <x:f>IFERROR(HYPERLINK("#'Service Log'!A1","SERVICE LOG"),"SERVICE LOG")</x:f>
        <x:v>SERVICE LOG</x:v>
      </x:c>
      <x:c r="E2" s="426" t="str">
        <x:f>IFERROR(HYPERLINK("#Instructions!A1","HELP"),"HELP")</x:f>
        <x:v>HELP</x:v>
      </x:c>
      <x:c r="F2" s="423"/>
      <x:c r="G2" s="419"/>
      <x:c r="H2" s="423"/>
      <x:c r="I2"/>
    </x:row>
    <x:row r="3" ht="38" customHeight="1">
      <x:c r="A3" s="433" t="str">
        <x:v>HOW TO COMPLETE A TASK: Enter Date Done and/or Printer Hours in the yellow cells. For after-print cleanup, today's date will check the item; entering current Printer Hours gives exact per-print tracking. The Auto Status box itself is not clicked.</x:v>
      </x:c>
      <x:c r="B3" s="433"/>
      <x:c r="C3" s="433"/>
      <x:c r="D3" s="433"/>
      <x:c r="E3" s="433"/>
      <x:c r="F3" s="433"/>
      <x:c r="G3" s="433"/>
      <x:c r="H3" s="433"/>
    </x:row>
    <x:row r="4">
      <x:c r="A4" s="2"/>
      <x:c r="B4" s="2"/>
      <x:c r="C4" s="2"/>
      <x:c r="D4" s="2"/>
      <x:c r="E4" s="2"/>
      <x:c r="F4" s="2"/>
      <x:c r="G4" s="2"/>
      <x:c r="H4" s="2"/>
    </x:row>
    <x:row r="5" ht="28" customHeight="1">
      <x:c r="A5" s="434" t="str">
        <x:v>Auto Status</x:v>
      </x:c>
      <x:c r="B5" s="434" t="str">
        <x:v>Maintenance Group</x:v>
      </x:c>
      <x:c r="C5" s="434" t="str">
        <x:v>Task</x:v>
      </x:c>
      <x:c r="D5" s="434" t="str">
        <x:v>When</x:v>
      </x:c>
      <x:c r="E5" s="434" t="str">
        <x:v>Basis</x:v>
      </x:c>
      <x:c r="F5" s="434" t="str">
        <x:v>Date Done</x:v>
      </x:c>
      <x:c r="G5" s="434" t="str">
        <x:v>Printer Hours</x:v>
      </x:c>
      <x:c r="H5" s="434" t="str">
        <x:v>Notes</x:v>
      </x:c>
    </x:row>
    <x:row r="6" ht="34" customHeight="1">
      <x:c r="A6" s="385" t="str">
        <x:f>IF(OR(AND(G6&lt;&gt;"",G6=Dashboard!$B$7),AND(F6&lt;&gt;"",F6=Dashboard!$B$8)),"✓","☐")</x:f>
        <x:v>☐</x:v>
      </x:c>
      <x:c r="B6" s="211" t="str">
        <x:v>After-print cleanup</x:v>
      </x:c>
      <x:c r="C6" s="211" t="str">
        <x:v>Remove loose filament, purge material and debris.</x:v>
      </x:c>
      <x:c r="D6" s="211" t="str">
        <x:v>After every print</x:v>
      </x:c>
      <x:c r="E6" s="211" t="str">
        <x:v>Practical</x:v>
      </x:c>
      <x:c r="F6" s="373"/>
      <x:c r="G6" s="374"/>
      <x:c r="H6" s="379"/>
    </x:row>
    <x:row r="7" ht="34" customHeight="1">
      <x:c r="A7" s="386" t="str">
        <x:f>IF(OR(AND(G7&lt;&gt;"",G7=Dashboard!$B$7),AND(F7&lt;&gt;"",F7=Dashboard!$B$8)),"✓","☐")</x:f>
        <x:v>☐</x:v>
      </x:c>
      <x:c r="B7" s="114" t="str">
        <x:v>After-print cleanup</x:v>
      </x:c>
      <x:c r="C7" s="114" t="str">
        <x:v>Inspect nozzle tips for plastic buildup.</x:v>
      </x:c>
      <x:c r="D7" s="114" t="str">
        <x:v>After every print</x:v>
      </x:c>
      <x:c r="E7" s="114" t="str">
        <x:v>Practical</x:v>
      </x:c>
      <x:c r="F7" s="375"/>
      <x:c r="G7" s="376"/>
      <x:c r="H7" s="380"/>
    </x:row>
    <x:row r="8" ht="34" customHeight="1">
      <x:c r="A8" s="386" t="str">
        <x:f>IF(OR(AND(G8&lt;&gt;"",G8=Dashboard!$B$7),AND(F8&lt;&gt;"",F8=Dashboard!$B$8)),"✓","☐")</x:f>
        <x:v>☐</x:v>
      </x:c>
      <x:c r="B8" s="114" t="str">
        <x:v>After-print cleanup</x:v>
      </x:c>
      <x:c r="C8" s="114" t="str">
        <x:v>Inspect build plate for residue, glue buildup or damage.</x:v>
      </x:c>
      <x:c r="D8" s="114" t="str">
        <x:v>After every print</x:v>
      </x:c>
      <x:c r="E8" s="114" t="str">
        <x:v>Practical</x:v>
      </x:c>
      <x:c r="F8" s="375"/>
      <x:c r="G8" s="376"/>
      <x:c r="H8" s="380"/>
    </x:row>
    <x:row r="9" ht="34" customHeight="1">
      <x:c r="A9" s="386" t="str">
        <x:f>IF(OR(AND(G9&lt;&gt;"",G9=Dashboard!$B$7),AND(F9&lt;&gt;"",F9=Dashboard!$B$8)),"✓","☐")</x:f>
        <x:v>☐</x:v>
      </x:c>
      <x:c r="B9" s="114" t="str">
        <x:v>After-print cleanup</x:v>
      </x:c>
      <x:c r="C9" s="114" t="str">
        <x:v>Clear purge/poop collection area as required.</x:v>
      </x:c>
      <x:c r="D9" s="114" t="str">
        <x:v>After every print</x:v>
      </x:c>
      <x:c r="E9" s="114" t="str">
        <x:v>Practical</x:v>
      </x:c>
      <x:c r="F9" s="375"/>
      <x:c r="G9" s="376"/>
      <x:c r="H9" s="380"/>
    </x:row>
    <x:row r="10" ht="34" customHeight="1">
      <x:c r="A10" s="386" t="str">
        <x:f>IF(OR(AND(G10&lt;&gt;"",G10=Dashboard!$B$7),AND(F10&lt;&gt;"",F10=Dashboard!$B$8)),"✓","☐")</x:f>
        <x:v>☐</x:v>
      </x:c>
      <x:c r="B10" s="114" t="str">
        <x:v>After-print cleanup</x:v>
      </x:c>
      <x:c r="C10" s="114" t="str">
        <x:v>Listen for new squeaks, grinding, clicking or rattling.</x:v>
      </x:c>
      <x:c r="D10" s="114" t="str">
        <x:v>After every print</x:v>
      </x:c>
      <x:c r="E10" s="114" t="str">
        <x:v>Practical</x:v>
      </x:c>
      <x:c r="F10" s="375"/>
      <x:c r="G10" s="376"/>
      <x:c r="H10" s="380"/>
    </x:row>
    <x:row r="11" ht="34" customHeight="1">
      <x:c r="A11" s="385" t="str">
        <x:f>IF(OR(AND(G11&lt;&gt;"",G11&gt;IF('Maintenance Center'!$F$7="",-1,'Maintenance Center'!$F$7)),AND(F11&lt;&gt;"",F11&gt;IF('Maintenance Center'!$G$7="",DATE(1900,1,1),'Maintenance Center'!$G$7))),"✓","☐")</x:f>
        <x:v>☐</x:v>
      </x:c>
      <x:c r="B11" s="211" t="str">
        <x:v>Quick clean &amp; inspection</x:v>
      </x:c>
      <x:c r="C11" s="211" t="str">
        <x:v>Deep-clean the build plate as appropriate for the plate/material.</x:v>
      </x:c>
      <x:c r="D11" s="211" t="str">
        <x:v>50 h / 30 days</x:v>
      </x:c>
      <x:c r="E11" s="211" t="str">
        <x:v>Practical</x:v>
      </x:c>
      <x:c r="F11" s="373"/>
      <x:c r="G11" s="374"/>
      <x:c r="H11" s="379"/>
    </x:row>
    <x:row r="12" ht="34" customHeight="1">
      <x:c r="A12" s="386" t="str">
        <x:f>IF(OR(AND(G12&lt;&gt;"",G12&gt;IF('Maintenance Center'!$F$7="",-1,'Maintenance Center'!$F$7)),AND(F12&lt;&gt;"",F12&gt;IF('Maintenance Center'!$G$7="",DATE(1900,1,1),'Maintenance Center'!$G$7))),"✓","☐")</x:f>
        <x:v>☐</x:v>
      </x:c>
      <x:c r="B12" s="114" t="str">
        <x:v>Quick clean &amp; inspection</x:v>
      </x:c>
      <x:c r="C12" s="114" t="str">
        <x:v>Inspect all four nozzles and silicone socks for buildup or damage.</x:v>
      </x:c>
      <x:c r="D12" s="114" t="str">
        <x:v>50 h / 30 days</x:v>
      </x:c>
      <x:c r="E12" s="114" t="str">
        <x:v>Practical</x:v>
      </x:c>
      <x:c r="F12" s="375"/>
      <x:c r="G12" s="376"/>
      <x:c r="H12" s="380"/>
    </x:row>
    <x:row r="13" ht="34" customHeight="1">
      <x:c r="A13" s="386" t="str">
        <x:f>IF(OR(AND(G13&lt;&gt;"",G13&gt;IF('Maintenance Center'!$F$7="",-1,'Maintenance Center'!$F$7)),AND(F13&lt;&gt;"",F13&gt;IF('Maintenance Center'!$G$7="",DATE(1900,1,1),'Maintenance Center'!$G$7))),"✓","☐")</x:f>
        <x:v>☐</x:v>
      </x:c>
      <x:c r="B13" s="114" t="str">
        <x:v>Quick clean &amp; inspection</x:v>
      </x:c>
      <x:c r="C13" s="114" t="str">
        <x:v>Inspect filament paths and PTFE tubes for dust, wear, kinks or broken filament.</x:v>
      </x:c>
      <x:c r="D13" s="114" t="str">
        <x:v>50 h / 30 days</x:v>
      </x:c>
      <x:c r="E13" s="114" t="str">
        <x:v>Practical</x:v>
      </x:c>
      <x:c r="F13" s="375"/>
      <x:c r="G13" s="376"/>
      <x:c r="H13" s="380"/>
    </x:row>
    <x:row r="14" ht="34" customHeight="1">
      <x:c r="A14" s="386" t="str">
        <x:f>IF(OR(AND(G14&lt;&gt;"",G14&gt;IF('Maintenance Center'!$F$7="",-1,'Maintenance Center'!$F$7)),AND(F14&lt;&gt;"",F14&gt;IF('Maintenance Center'!$G$7="",DATE(1900,1,1),'Maintenance Center'!$G$7))),"✓","☐")</x:f>
        <x:v>☐</x:v>
      </x:c>
      <x:c r="B14" s="114" t="str">
        <x:v>Quick clean &amp; inspection</x:v>
      </x:c>
      <x:c r="C14" s="114" t="str">
        <x:v>Inspect belts for fraying, rubbing or unusual slack. Do not grease belts.</x:v>
      </x:c>
      <x:c r="D14" s="114" t="str">
        <x:v>50 h / 30 days</x:v>
      </x:c>
      <x:c r="E14" s="114" t="str">
        <x:v>Practical</x:v>
      </x:c>
      <x:c r="F14" s="375"/>
      <x:c r="G14" s="376"/>
      <x:c r="H14" s="380"/>
    </x:row>
    <x:row r="15" ht="34" customHeight="1">
      <x:c r="A15" s="386" t="str">
        <x:f>IF(OR(AND(G15&lt;&gt;"",G15&gt;IF('Maintenance Center'!$F$7="",-1,'Maintenance Center'!$F$7)),AND(F15&lt;&gt;"",F15&gt;IF('Maintenance Center'!$G$7="",DATE(1900,1,1),'Maintenance Center'!$G$7))),"✓","☐")</x:f>
        <x:v>☐</x:v>
      </x:c>
      <x:c r="B15" s="114" t="str">
        <x:v>Quick clean &amp; inspection</x:v>
      </x:c>
      <x:c r="C15" s="114" t="str">
        <x:v>Inspect exposed motion rods/rails for contamination.</x:v>
      </x:c>
      <x:c r="D15" s="114" t="str">
        <x:v>50 h / 30 days</x:v>
      </x:c>
      <x:c r="E15" s="114" t="str">
        <x:v>Practical</x:v>
      </x:c>
      <x:c r="F15" s="375"/>
      <x:c r="G15" s="376"/>
      <x:c r="H15" s="380"/>
    </x:row>
    <x:row r="16" ht="34" customHeight="1">
      <x:c r="A16" s="386" t="str">
        <x:f>IF(OR(AND(G16&lt;&gt;"",G16&gt;IF('Maintenance Center'!$F$7="",-1,'Maintenance Center'!$F$7)),AND(F16&lt;&gt;"",F16&gt;IF('Maintenance Center'!$G$7="",DATE(1900,1,1),'Maintenance Center'!$G$7))),"✓","☐")</x:f>
        <x:v>☐</x:v>
      </x:c>
      <x:c r="B16" s="114" t="str">
        <x:v>Quick clean &amp; inspection</x:v>
      </x:c>
      <x:c r="C16" s="114" t="str">
        <x:v>Check cooling fans and vents for dust buildup.</x:v>
      </x:c>
      <x:c r="D16" s="114" t="str">
        <x:v>50 h / 30 days</x:v>
      </x:c>
      <x:c r="E16" s="114" t="str">
        <x:v>Practical</x:v>
      </x:c>
      <x:c r="F16" s="375"/>
      <x:c r="G16" s="376"/>
      <x:c r="H16" s="380"/>
    </x:row>
    <x:row r="17" ht="34" customHeight="1">
      <x:c r="A17" s="386" t="str">
        <x:f>IF(OR(AND(G17&lt;&gt;"",G17&gt;IF('Maintenance Center'!$F$7="",-1,'Maintenance Center'!$F$7)),AND(F17&lt;&gt;"",F17&gt;IF('Maintenance Center'!$G$7="",DATE(1900,1,1),'Maintenance Center'!$G$7))),"✓","☐")</x:f>
        <x:v>☐</x:v>
      </x:c>
      <x:c r="B17" s="114" t="str">
        <x:v>Quick clean &amp; inspection</x:v>
      </x:c>
      <x:c r="C17" s="114" t="str">
        <x:v>Check accessible fasteners and toolhead docks for looseness.</x:v>
      </x:c>
      <x:c r="D17" s="114" t="str">
        <x:v>50 h / 30 days</x:v>
      </x:c>
      <x:c r="E17" s="114" t="str">
        <x:v>Practical</x:v>
      </x:c>
      <x:c r="F17" s="375"/>
      <x:c r="G17" s="376"/>
      <x:c r="H17" s="380"/>
    </x:row>
    <x:row r="18" ht="34" customHeight="1">
      <x:c r="A18" s="385" t="str">
        <x:f>IF(OR(AND(G18&lt;&gt;"",G18&gt;IF('Maintenance Center'!$F$8="",-1,'Maintenance Center'!$F$8)),AND(F18&lt;&gt;"",F18&gt;IF('Maintenance Center'!$G$8="",DATE(1900,1,1),'Maintenance Center'!$G$8))),"✓","☐")</x:f>
        <x:v>☐</x:v>
      </x:c>
      <x:c r="B18" s="211" t="str">
        <x:v>Detailed preventative inspection</x:v>
      </x:c>
      <x:c r="C18" s="211" t="str">
        <x:v>Wipe exposed motion rods with a clean lint-free cloth.</x:v>
      </x:c>
      <x:c r="D18" s="211" t="str">
        <x:v>150 h</x:v>
      </x:c>
      <x:c r="E18" s="211" t="str">
        <x:v>Practical</x:v>
      </x:c>
      <x:c r="F18" s="373"/>
      <x:c r="G18" s="374"/>
      <x:c r="H18" s="379"/>
    </x:row>
    <x:row r="19" ht="34" customHeight="1">
      <x:c r="A19" s="386" t="str">
        <x:f>IF(OR(AND(G19&lt;&gt;"",G19&gt;IF('Maintenance Center'!$F$8="",-1,'Maintenance Center'!$F$8)),AND(F19&lt;&gt;"",F19&gt;IF('Maintenance Center'!$G$8="",DATE(1900,1,1),'Maintenance Center'!$G$8))),"✓","☐")</x:f>
        <x:v>☐</x:v>
      </x:c>
      <x:c r="B19" s="114" t="str">
        <x:v>Detailed preventative inspection</x:v>
      </x:c>
      <x:c r="C19" s="114" t="str">
        <x:v>Inspect the Z lead screw for debris, contaminated grease or dry areas.</x:v>
      </x:c>
      <x:c r="D19" s="114" t="str">
        <x:v>150 h</x:v>
      </x:c>
      <x:c r="E19" s="114" t="str">
        <x:v>Practical</x:v>
      </x:c>
      <x:c r="F19" s="375"/>
      <x:c r="G19" s="376"/>
      <x:c r="H19" s="380"/>
    </x:row>
    <x:row r="20" ht="34" customHeight="1">
      <x:c r="A20" s="386" t="str">
        <x:f>IF(OR(AND(G20&lt;&gt;"",G20&gt;IF('Maintenance Center'!$F$8="",-1,'Maintenance Center'!$F$8)),AND(F20&lt;&gt;"",F20&gt;IF('Maintenance Center'!$G$8="",DATE(1900,1,1),'Maintenance Center'!$G$8))),"✓","☐")</x:f>
        <x:v>☐</x:v>
      </x:c>
      <x:c r="B20" s="114" t="str">
        <x:v>Detailed preventative inspection</x:v>
      </x:c>
      <x:c r="C20" s="114" t="str">
        <x:v>Confirm smooth X, Y and Z movement.</x:v>
      </x:c>
      <x:c r="D20" s="114" t="str">
        <x:v>150 h</x:v>
      </x:c>
      <x:c r="E20" s="114" t="str">
        <x:v>Practical</x:v>
      </x:c>
      <x:c r="F20" s="375"/>
      <x:c r="G20" s="376"/>
      <x:c r="H20" s="380"/>
    </x:row>
    <x:row r="21" ht="34" customHeight="1">
      <x:c r="A21" s="386" t="str">
        <x:f>IF(OR(AND(G21&lt;&gt;"",G21&gt;IF('Maintenance Center'!$F$8="",-1,'Maintenance Center'!$F$8)),AND(F21&lt;&gt;"",F21&gt;IF('Maintenance Center'!$G$8="",DATE(1900,1,1),'Maintenance Center'!$G$8))),"✓","☐")</x:f>
        <x:v>☐</x:v>
      </x:c>
      <x:c r="B21" s="114" t="str">
        <x:v>Detailed preventative inspection</x:v>
      </x:c>
      <x:c r="C21" s="114" t="str">
        <x:v>Listen for pulley, bearing or motion-system noise.</x:v>
      </x:c>
      <x:c r="D21" s="114" t="str">
        <x:v>150 h</x:v>
      </x:c>
      <x:c r="E21" s="114" t="str">
        <x:v>Practical</x:v>
      </x:c>
      <x:c r="F21" s="375"/>
      <x:c r="G21" s="376"/>
      <x:c r="H21" s="380"/>
    </x:row>
    <x:row r="22" ht="34" customHeight="1">
      <x:c r="A22" s="386" t="str">
        <x:f>IF(OR(AND(G22&lt;&gt;"",G22&gt;IF('Maintenance Center'!$F$8="",-1,'Maintenance Center'!$F$8)),AND(F22&lt;&gt;"",F22&gt;IF('Maintenance Center'!$G$8="",DATE(1900,1,1),'Maintenance Center'!$G$8))),"✓","☐")</x:f>
        <x:v>☐</x:v>
      </x:c>
      <x:c r="B22" s="114" t="str">
        <x:v>Detailed preventative inspection</x:v>
      </x:c>
      <x:c r="C22" s="114" t="str">
        <x:v>Inspect each extruder docking mechanism.</x:v>
      </x:c>
      <x:c r="D22" s="114" t="str">
        <x:v>150 h</x:v>
      </x:c>
      <x:c r="E22" s="114" t="str">
        <x:v>Practical</x:v>
      </x:c>
      <x:c r="F22" s="375"/>
      <x:c r="G22" s="376"/>
      <x:c r="H22" s="380"/>
    </x:row>
    <x:row r="23" ht="34" customHeight="1">
      <x:c r="A23" s="386" t="str">
        <x:f>IF(OR(AND(G23&lt;&gt;"",G23&gt;IF('Maintenance Center'!$F$8="",-1,'Maintenance Center'!$F$8)),AND(F23&lt;&gt;"",F23&gt;IF('Maintenance Center'!$G$8="",DATE(1900,1,1),'Maintenance Center'!$G$8))),"✓","☐")</x:f>
        <x:v>☐</x:v>
      </x:c>
      <x:c r="B23" s="114" t="str">
        <x:v>Detailed preventative inspection</x:v>
      </x:c>
      <x:c r="C23" s="114" t="str">
        <x:v>Inspect PEI plate for warping, bubbling or serious damage.</x:v>
      </x:c>
      <x:c r="D23" s="114" t="str">
        <x:v>150 h</x:v>
      </x:c>
      <x:c r="E23" s="114" t="str">
        <x:v>Practical</x:v>
      </x:c>
      <x:c r="F23" s="375"/>
      <x:c r="G23" s="376"/>
      <x:c r="H23" s="380"/>
    </x:row>
    <x:row r="24" ht="34" customHeight="1">
      <x:c r="A24" s="385" t="str">
        <x:f>IF(OR(AND(G24&lt;&gt;"",G24&gt;IF('Maintenance Center'!$F$9="",-1,'Maintenance Center'!$F$9)),AND(F24&lt;&gt;"",F24&gt;IF('Maintenance Center'!$G$9="",DATE(1900,1,1),'Maintenance Center'!$G$9))),"✓","☐")</x:f>
        <x:v>☐</x:v>
      </x:c>
      <x:c r="B24" s="211" t="str">
        <x:v>500-hour official service</x:v>
      </x:c>
      <x:c r="C24" s="211" t="str">
        <x:v>Remove the PEI plate before servicing the toolhead positioning mechanism.</x:v>
      </x:c>
      <x:c r="D24" s="211" t="str">
        <x:v>500 h</x:v>
      </x:c>
      <x:c r="E24" s="224" t="str">
        <x:v>Official FlashForge</x:v>
      </x:c>
      <x:c r="F24" s="373"/>
      <x:c r="G24" s="374"/>
      <x:c r="H24" s="379"/>
    </x:row>
    <x:row r="25" ht="34" customHeight="1">
      <x:c r="A25" s="386" t="str">
        <x:f>IF(OR(AND(G25&lt;&gt;"",G25&gt;IF('Maintenance Center'!$F$9="",-1,'Maintenance Center'!$F$9)),AND(F25&lt;&gt;"",F25&gt;IF('Maintenance Center'!$G$9="",DATE(1900,1,1),'Maintenance Center'!$G$9))),"✓","☐")</x:f>
        <x:v>☐</x:v>
      </x:c>
      <x:c r="B25" s="114" t="str">
        <x:v>500-hour official service</x:v>
      </x:c>
      <x:c r="C25" s="114" t="str">
        <x:v>Use a small amount of WD-40 on a lint-free cloth to remove old grease/debris from positioning balls. Do not spray into the printer.</x:v>
      </x:c>
      <x:c r="D25" s="114" t="str">
        <x:v>500 h</x:v>
      </x:c>
      <x:c r="E25" s="225" t="str">
        <x:v>Official FlashForge</x:v>
      </x:c>
      <x:c r="F25" s="375"/>
      <x:c r="G25" s="376"/>
      <x:c r="H25" s="380"/>
    </x:row>
    <x:row r="26" ht="34" customHeight="1">
      <x:c r="A26" s="386" t="str">
        <x:f>IF(OR(AND(G26&lt;&gt;"",G26&gt;IF('Maintenance Center'!$F$9="",-1,'Maintenance Center'!$F$9)),AND(F26&lt;&gt;"",F26&gt;IF('Maintenance Center'!$G$9="",DATE(1900,1,1),'Maintenance Center'!$G$9))),"✓","☐")</x:f>
        <x:v>☐</x:v>
      </x:c>
      <x:c r="B26" s="114" t="str">
        <x:v>500-hour official service</x:v>
      </x:c>
      <x:c r="C26" s="114" t="str">
        <x:v>Apply a thin, even layer of grease to all positioning balls. Avoid grease buildup.</x:v>
      </x:c>
      <x:c r="D26" s="114" t="str">
        <x:v>500 h</x:v>
      </x:c>
      <x:c r="E26" s="225" t="str">
        <x:v>Official FlashForge</x:v>
      </x:c>
      <x:c r="F26" s="375"/>
      <x:c r="G26" s="376"/>
      <x:c r="H26" s="380"/>
    </x:row>
    <x:row r="27" ht="34" customHeight="1">
      <x:c r="A27" s="386" t="str">
        <x:f>IF(OR(AND(G27&lt;&gt;"",G27&gt;IF('Maintenance Center'!$F$9="",-1,'Maintenance Center'!$F$9)),AND(F27&lt;&gt;"",F27&gt;IF('Maintenance Center'!$G$9="",DATE(1900,1,1),'Maintenance Center'!$G$9))),"✓","☐")</x:f>
        <x:v>☐</x:v>
      </x:c>
      <x:c r="B27" s="114" t="str">
        <x:v>500-hour official service</x:v>
      </x:c>
      <x:c r="C27" s="114" t="str">
        <x:v>Clean old grease/debris from the six needle rollers on the positioning plate.</x:v>
      </x:c>
      <x:c r="D27" s="114" t="str">
        <x:v>500 h</x:v>
      </x:c>
      <x:c r="E27" s="225" t="str">
        <x:v>Official FlashForge</x:v>
      </x:c>
      <x:c r="F27" s="375"/>
      <x:c r="G27" s="376"/>
      <x:c r="H27" s="380"/>
    </x:row>
    <x:row r="28" ht="34" customHeight="1">
      <x:c r="A28" s="386" t="str">
        <x:f>IF(OR(AND(G28&lt;&gt;"",G28&gt;IF('Maintenance Center'!$F$9="",-1,'Maintenance Center'!$F$9)),AND(F28&lt;&gt;"",F28&gt;IF('Maintenance Center'!$G$9="",DATE(1900,1,1),'Maintenance Center'!$G$9))),"✓","☐")</x:f>
        <x:v>☐</x:v>
      </x:c>
      <x:c r="B28" s="114" t="str">
        <x:v>500-hour official service</x:v>
      </x:c>
      <x:c r="C28" s="114" t="str">
        <x:v>Apply grease to the specified needle-roller contact areas.</x:v>
      </x:c>
      <x:c r="D28" s="114" t="str">
        <x:v>500 h</x:v>
      </x:c>
      <x:c r="E28" s="225" t="str">
        <x:v>Official FlashForge</x:v>
      </x:c>
      <x:c r="F28" s="375"/>
      <x:c r="G28" s="376"/>
      <x:c r="H28" s="380"/>
    </x:row>
    <x:row r="29" ht="34" customHeight="1">
      <x:c r="A29" s="386" t="str">
        <x:f>IF(OR(AND(G29&lt;&gt;"",G29&gt;IF('Maintenance Center'!$F$9="",-1,'Maintenance Center'!$F$9)),AND(F29&lt;&gt;"",F29&gt;IF('Maintenance Center'!$G$9="",DATE(1900,1,1),'Maintenance Center'!$G$9))),"✓","☐")</x:f>
        <x:v>☐</x:v>
      </x:c>
      <x:c r="B29" s="114" t="str">
        <x:v>500-hour official service</x:v>
      </x:c>
      <x:c r="C29" s="114" t="str">
        <x:v>Wipe away excess grease and repeat the procedure for the remaining extruders.</x:v>
      </x:c>
      <x:c r="D29" s="114" t="str">
        <x:v>500 h</x:v>
      </x:c>
      <x:c r="E29" s="225" t="str">
        <x:v>Official FlashForge</x:v>
      </x:c>
      <x:c r="F29" s="375"/>
      <x:c r="G29" s="376"/>
      <x:c r="H29" s="380"/>
    </x:row>
    <x:row r="30" ht="34" customHeight="1">
      <x:c r="A30" s="386" t="str">
        <x:f>IF(OR(AND(G30&lt;&gt;"",G30&gt;IF('Maintenance Center'!$F$9="",-1,'Maintenance Center'!$F$9)),AND(F30&lt;&gt;"",F30&gt;IF('Maintenance Center'!$G$9="",DATE(1900,1,1),'Maintenance Center'!$G$9))),"✓","☐")</x:f>
        <x:v>☐</x:v>
      </x:c>
      <x:c r="B30" s="114" t="str">
        <x:v>500-hour official service</x:v>
      </x:c>
      <x:c r="C30" s="114" t="str">
        <x:v>Reinstall the build plate and verify normal toolhead docking/movement.</x:v>
      </x:c>
      <x:c r="D30" s="114" t="str">
        <x:v>500 h</x:v>
      </x:c>
      <x:c r="E30" s="114" t="str">
        <x:v>Practical verification</x:v>
      </x:c>
      <x:c r="F30" s="375"/>
      <x:c r="G30" s="376"/>
      <x:c r="H30" s="380"/>
    </x:row>
    <x:row r="31" ht="34" customHeight="1">
      <x:c r="A31" s="385" t="str">
        <x:f>IF(OR(AND(G31&lt;&gt;"",G31&gt;IF('Maintenance Center'!$F$10="",-1,'Maintenance Center'!$F$10)),AND(F31&lt;&gt;"",F31&gt;IF('Maintenance Center'!$G$10="",DATE(1900,1,1),'Maintenance Center'!$G$10))),"✓","☐")</x:f>
        <x:v>☐</x:v>
      </x:c>
      <x:c r="B31" s="211" t="str">
        <x:v>Full mechanical inspection/service</x:v>
      </x:c>
      <x:c r="C31" s="211" t="str">
        <x:v>Thoroughly clean X, Y and Z motion components.</x:v>
      </x:c>
      <x:c r="D31" s="211" t="str">
        <x:v>1,000 h</x:v>
      </x:c>
      <x:c r="E31" s="211" t="str">
        <x:v>Practical</x:v>
      </x:c>
      <x:c r="F31" s="373"/>
      <x:c r="G31" s="374"/>
      <x:c r="H31" s="379"/>
    </x:row>
    <x:row r="32" ht="34" customHeight="1">
      <x:c r="A32" s="386" t="str">
        <x:f>IF(OR(AND(G32&lt;&gt;"",G32&gt;IF('Maintenance Center'!$F$10="",-1,'Maintenance Center'!$F$10)),AND(F32&lt;&gt;"",F32&gt;IF('Maintenance Center'!$G$10="",DATE(1900,1,1),'Maintenance Center'!$G$10))),"✓","☐")</x:f>
        <x:v>☐</x:v>
      </x:c>
      <x:c r="B32" s="114" t="str">
        <x:v>Full mechanical inspection/service</x:v>
      </x:c>
      <x:c r="C32" s="114" t="str">
        <x:v>Clean old contamination from the Z lead screw and lubricate only as required.</x:v>
      </x:c>
      <x:c r="D32" s="114" t="str">
        <x:v>1,000 h</x:v>
      </x:c>
      <x:c r="E32" s="114" t="str">
        <x:v>Practical</x:v>
      </x:c>
      <x:c r="F32" s="375"/>
      <x:c r="G32" s="376"/>
      <x:c r="H32" s="380"/>
    </x:row>
    <x:row r="33" ht="34" customHeight="1">
      <x:c r="A33" s="386" t="str">
        <x:f>IF(OR(AND(G33&lt;&gt;"",G33&gt;IF('Maintenance Center'!$F$10="",-1,'Maintenance Center'!$F$10)),AND(F33&lt;&gt;"",F33&gt;IF('Maintenance Center'!$G$10="",DATE(1900,1,1),'Maintenance Center'!$G$10))),"✓","☐")</x:f>
        <x:v>☐</x:v>
      </x:c>
      <x:c r="B33" s="114" t="str">
        <x:v>Full mechanical inspection/service</x:v>
      </x:c>
      <x:c r="C33" s="114" t="str">
        <x:v>Closely inspect belts and pulleys.</x:v>
      </x:c>
      <x:c r="D33" s="114" t="str">
        <x:v>1,000 h</x:v>
      </x:c>
      <x:c r="E33" s="114" t="str">
        <x:v>Practical</x:v>
      </x:c>
      <x:c r="F33" s="375"/>
      <x:c r="G33" s="376"/>
      <x:c r="H33" s="380"/>
    </x:row>
    <x:row r="34" ht="34" customHeight="1">
      <x:c r="A34" s="386" t="str">
        <x:f>IF(OR(AND(G34&lt;&gt;"",G34&gt;IF('Maintenance Center'!$F$10="",-1,'Maintenance Center'!$F$10)),AND(F34&lt;&gt;"",F34&gt;IF('Maintenance Center'!$G$10="",DATE(1900,1,1),'Maintenance Center'!$G$10))),"✓","☐")</x:f>
        <x:v>☐</x:v>
      </x:c>
      <x:c r="B34" s="114" t="str">
        <x:v>Full mechanical inspection/service</x:v>
      </x:c>
      <x:c r="C34" s="114" t="str">
        <x:v>Inspect moving cables and PTFE tubes for wear.</x:v>
      </x:c>
      <x:c r="D34" s="114" t="str">
        <x:v>1,000 h</x:v>
      </x:c>
      <x:c r="E34" s="114" t="str">
        <x:v>Practical</x:v>
      </x:c>
      <x:c r="F34" s="375"/>
      <x:c r="G34" s="376"/>
      <x:c r="H34" s="380"/>
    </x:row>
    <x:row r="35" ht="34" customHeight="1">
      <x:c r="A35" s="386" t="str">
        <x:f>IF(OR(AND(G35&lt;&gt;"",G35&gt;IF('Maintenance Center'!$F$10="",-1,'Maintenance Center'!$F$10)),AND(F35&lt;&gt;"",F35&gt;IF('Maintenance Center'!$G$10="",DATE(1900,1,1),'Maintenance Center'!$G$10))),"✓","☐")</x:f>
        <x:v>☐</x:v>
      </x:c>
      <x:c r="B35" s="114" t="str">
        <x:v>Full mechanical inspection/service</x:v>
      </x:c>
      <x:c r="C35" s="114" t="str">
        <x:v>Inspect all four toolhead docks and extruders.</x:v>
      </x:c>
      <x:c r="D35" s="114" t="str">
        <x:v>1,000 h</x:v>
      </x:c>
      <x:c r="E35" s="114" t="str">
        <x:v>Practical</x:v>
      </x:c>
      <x:c r="F35" s="375"/>
      <x:c r="G35" s="376"/>
      <x:c r="H35" s="380"/>
    </x:row>
    <x:row r="36" ht="34" customHeight="1">
      <x:c r="A36" s="386" t="str">
        <x:f>IF(OR(AND(G36&lt;&gt;"",G36&gt;IF('Maintenance Center'!$F$10="",-1,'Maintenance Center'!$F$10)),AND(F36&lt;&gt;"",F36&gt;IF('Maintenance Center'!$G$10="",DATE(1900,1,1),'Maintenance Center'!$G$10))),"✓","☐")</x:f>
        <x:v>☐</x:v>
      </x:c>
      <x:c r="B36" s="114" t="str">
        <x:v>Full mechanical inspection/service</x:v>
      </x:c>
      <x:c r="C36" s="114" t="str">
        <x:v>Clean fans and vents and check accessible fasteners.</x:v>
      </x:c>
      <x:c r="D36" s="114" t="str">
        <x:v>1,000 h</x:v>
      </x:c>
      <x:c r="E36" s="114" t="str">
        <x:v>Practical</x:v>
      </x:c>
      <x:c r="F36" s="375"/>
      <x:c r="G36" s="376"/>
      <x:c r="H36" s="380"/>
    </x:row>
    <x:row r="37" ht="34" customHeight="1">
      <x:c r="A37" s="386" t="str">
        <x:f>IF(OR(AND(G37&lt;&gt;"",G37&gt;IF('Maintenance Center'!$F$10="",-1,'Maintenance Center'!$F$10)),AND(F37&lt;&gt;"",F37&gt;IF('Maintenance Center'!$G$10="",DATE(1900,1,1),'Maintenance Center'!$G$10))),"✓","☐")</x:f>
        <x:v>☐</x:v>
      </x:c>
      <x:c r="B37" s="114" t="str">
        <x:v>Full mechanical inspection/service</x:v>
      </x:c>
      <x:c r="C37" s="114" t="str">
        <x:v>Run printer calibration after service if anything affecting motion/toolhead alignment was adjusted.</x:v>
      </x:c>
      <x:c r="D37" s="114" t="str">
        <x:v>1,000 h</x:v>
      </x:c>
      <x:c r="E37" s="114" t="str">
        <x:v>Practical</x:v>
      </x:c>
      <x:c r="F37" s="375"/>
      <x:c r="G37" s="376"/>
      <x:c r="H37" s="380"/>
    </x:row>
    <x:row r="38" ht="34" customHeight="1">
      <x:c r="A38" s="385" t="str">
        <x:f>IF(OR(AND(G38&lt;&gt;"",G38&gt;IF('Maintenance Center'!$F$11="",-1,'Maintenance Center'!$F$11)),AND(F38&lt;&gt;"",F38&gt;IF('Maintenance Center'!$G$11="",DATE(1900,1,1),'Maintenance Center'!$G$11))),"✓","☐")</x:f>
        <x:v>☐</x:v>
      </x:c>
      <x:c r="B38" s="211" t="str">
        <x:v>After nozzle replacement</x:v>
      </x:c>
      <x:c r="C38" s="211" t="str">
        <x:v>Confirm filament loads and extrudes smoothly.</x:v>
      </x:c>
      <x:c r="D38" s="211" t="str">
        <x:v>After nozzle replacement</x:v>
      </x:c>
      <x:c r="E38" s="211" t="str">
        <x:v>Practical</x:v>
      </x:c>
      <x:c r="F38" s="373"/>
      <x:c r="G38" s="374"/>
      <x:c r="H38" s="379"/>
    </x:row>
    <x:row r="39" ht="34" customHeight="1">
      <x:c r="A39" s="386" t="str">
        <x:f>IF(OR(AND(G39&lt;&gt;"",G39&gt;IF('Maintenance Center'!$F$11="",-1,'Maintenance Center'!$F$11)),AND(F39&lt;&gt;"",F39&gt;IF('Maintenance Center'!$G$11="",DATE(1900,1,1),'Maintenance Center'!$G$11))),"✓","☐")</x:f>
        <x:v>☐</x:v>
      </x:c>
      <x:c r="B39" s="114" t="str">
        <x:v>After nozzle replacement</x:v>
      </x:c>
      <x:c r="C39" s="114" t="str">
        <x:v>Run bed leveling.</x:v>
      </x:c>
      <x:c r="D39" s="114" t="str">
        <x:v>After nozzle replacement</x:v>
      </x:c>
      <x:c r="E39" s="114" t="str">
        <x:v>FlashForge guidance</x:v>
      </x:c>
      <x:c r="F39" s="375"/>
      <x:c r="G39" s="376"/>
      <x:c r="H39" s="380"/>
    </x:row>
    <x:row r="40" ht="34" customHeight="1">
      <x:c r="A40" s="386" t="str">
        <x:f>IF(OR(AND(G40&lt;&gt;"",G40&gt;IF('Maintenance Center'!$F$11="",-1,'Maintenance Center'!$F$11)),AND(F40&lt;&gt;"",F40&gt;IF('Maintenance Center'!$G$11="",DATE(1900,1,1),'Maintenance Center'!$G$11))),"✓","☐")</x:f>
        <x:v>☐</x:v>
      </x:c>
      <x:c r="B40" s="114" t="str">
        <x:v>After nozzle replacement</x:v>
      </x:c>
      <x:c r="C40" s="114" t="str">
        <x:v>Run nozzle/extruder offset calibration for multi-tool printing.</x:v>
      </x:c>
      <x:c r="D40" s="114" t="str">
        <x:v>After nozzle replacement</x:v>
      </x:c>
      <x:c r="E40" s="114" t="str">
        <x:v>FlashForge guidance</x:v>
      </x:c>
      <x:c r="F40" s="375"/>
      <x:c r="G40" s="376"/>
      <x:c r="H40" s="380"/>
    </x:row>
    <x:row r="41" ht="34" customHeight="1">
      <x:c r="A41" s="386" t="str">
        <x:f>IF(OR(AND(G41&lt;&gt;"",G41&gt;IF('Maintenance Center'!$F$11="",-1,'Maintenance Center'!$F$11)),AND(F41&lt;&gt;"",F41&gt;IF('Maintenance Center'!$G$11="",DATE(1900,1,1),'Maintenance Center'!$G$11))),"✓","☐")</x:f>
        <x:v>☐</x:v>
      </x:c>
      <x:c r="B41" s="114" t="str">
        <x:v>After nozzle replacement</x:v>
      </x:c>
      <x:c r="C41" s="114" t="str">
        <x:v>Print a small test model before a critical multi-tool print.</x:v>
      </x:c>
      <x:c r="D41" s="114" t="str">
        <x:v>After nozzle replacement</x:v>
      </x:c>
      <x:c r="E41" s="114" t="str">
        <x:v>Practical</x:v>
      </x:c>
      <x:c r="F41" s="375"/>
      <x:c r="G41" s="376"/>
      <x:c r="H41" s="380"/>
    </x:row>
    <x:row r="42" ht="34" customHeight="1">
      <x:c r="A42" s="385" t="str">
        <x:f>IF(OR(AND(G42&lt;&gt;"",G42&gt;IF('Maintenance Center'!$F$12="",-1,'Maintenance Center'!$F$12)),AND(F42&lt;&gt;"",F42&gt;IF('Maintenance Center'!$G$12="",DATE(1900,1,1),'Maintenance Center'!$G$12))),"✓","☐")</x:f>
        <x:v>☐</x:v>
      </x:c>
      <x:c r="B42" s="211" t="str">
        <x:v>Idle more than 2 days</x:v>
      </x:c>
      <x:c r="C42" s="211" t="str">
        <x:v>Unload moisture-sensitive filament if the printer will remain idle.</x:v>
      </x:c>
      <x:c r="D42" s="211" t="str">
        <x:v>&gt;2 days idle</x:v>
      </x:c>
      <x:c r="E42" s="211" t="str">
        <x:v>Practical / general FF guidance</x:v>
      </x:c>
      <x:c r="F42" s="373"/>
      <x:c r="G42" s="374"/>
      <x:c r="H42" s="379"/>
    </x:row>
    <x:row r="43" ht="34" customHeight="1">
      <x:c r="A43" s="386" t="str">
        <x:f>IF(OR(AND(G43&lt;&gt;"",G43&gt;IF('Maintenance Center'!$F$12="",-1,'Maintenance Center'!$F$12)),AND(F43&lt;&gt;"",F43&gt;IF('Maintenance Center'!$G$12="",DATE(1900,1,1),'Maintenance Center'!$G$12))),"✓","☐")</x:f>
        <x:v>☐</x:v>
      </x:c>
      <x:c r="B43" s="114" t="str">
        <x:v>Idle more than 2 days</x:v>
      </x:c>
      <x:c r="C43" s="114" t="str">
        <x:v>Store filament sealed with desiccant or in a dry-storage system.</x:v>
      </x:c>
      <x:c r="D43" s="114" t="str">
        <x:v>&gt;2 days idle</x:v>
      </x:c>
      <x:c r="E43" s="114" t="str">
        <x:v>Practical / general FF guidance</x:v>
      </x:c>
      <x:c r="F43" s="375"/>
      <x:c r="G43" s="376"/>
      <x:c r="H43" s="380"/>
    </x:row>
    <x:row r="44" ht="34" customHeight="1">
      <x:c r="A44" s="387" t="str">
        <x:f>IF(OR(AND(G44&lt;&gt;"",G44&gt;IF('Maintenance Center'!$F$12="",-1,'Maintenance Center'!$F$12)),AND(F44&lt;&gt;"",F44&gt;IF('Maintenance Center'!$G$12="",DATE(1900,1,1),'Maintenance Center'!$G$12))),"✓","☐")</x:f>
        <x:v>☐</x:v>
      </x:c>
      <x:c r="B44" s="290" t="str">
        <x:v>Idle more than 2 days</x:v>
      </x:c>
      <x:c r="C44" s="290" t="str">
        <x:v>Keep the printer protected from dust.</x:v>
      </x:c>
      <x:c r="D44" s="290" t="str">
        <x:v>&gt;2 days idle</x:v>
      </x:c>
      <x:c r="E44" s="290" t="str">
        <x:v>Practical</x:v>
      </x:c>
      <x:c r="F44" s="377"/>
      <x:c r="G44" s="378"/>
      <x:c r="H44" s="381"/>
    </x:row>
    <x:row r="45">
      <x:c r="A45" s="2"/>
      <x:c r="B45" s="2"/>
      <x:c r="C45" s="2"/>
      <x:c r="D45" s="2"/>
      <x:c r="E45" s="2"/>
      <x:c r="F45" s="2"/>
      <x:c r="G45" s="2"/>
      <x:c r="H45" s="2"/>
    </x:row>
    <x:row r="46">
      <x:c r="A46" s="2"/>
      <x:c r="B46" s="2"/>
      <x:c r="C46" s="2"/>
      <x:c r="D46" s="2"/>
      <x:c r="E46" s="2"/>
      <x:c r="F46" s="2"/>
      <x:c r="G46" s="2"/>
      <x:c r="H46" s="2"/>
    </x:row>
    <x:row r="47">
      <x:c r="A47" s="2"/>
      <x:c r="B47" s="2"/>
      <x:c r="C47" s="2"/>
      <x:c r="D47" s="2"/>
      <x:c r="E47" s="2"/>
      <x:c r="F47" s="2"/>
      <x:c r="G47" s="2"/>
      <x:c r="H47" s="2"/>
    </x:row>
    <x:row r="48">
      <x:c r="A48" s="2"/>
      <x:c r="B48" s="2"/>
      <x:c r="C48" s="2"/>
      <x:c r="D48" s="2"/>
      <x:c r="E48" s="2"/>
      <x:c r="F48" s="2"/>
      <x:c r="G48" s="2"/>
      <x:c r="H48" s="2"/>
    </x:row>
  </x:sheetData>
  <x:mergeCells>
    <x:mergeCell ref="A1:H1"/>
    <x:mergeCell ref="A3:H3"/>
  </x:mergeCells>
  <x:conditionalFormatting sqref="A6:A44">
    <x:cfRule type="expression" dxfId="10" priority="1">
      <x:formula>A6="✓"</x:formula>
    </x:cfRule>
    <x:cfRule type="expression" dxfId="11" priority="2">
      <x:formula>A6="☐"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4" hidden="0" customWidth="1"/>
    <x:col min="3" max="3" width="27" hidden="0" customWidth="1"/>
    <x:col min="4" max="4" width="38" hidden="0" customWidth="1"/>
    <x:col min="5" max="5" width="18" hidden="0" customWidth="1"/>
    <x:col min="6" max="6" width="28" hidden="0" customWidth="1"/>
    <x:col min="7" max="7" width="36" hidden="0" customWidth="1"/>
    <x:col min="8" max="8" width="15" hidden="0" customWidth="1"/>
    <x:col min="9" max="9" width="16" hidden="0" customWidth="1"/>
    <x:col min="10" max="10" width="14" hidden="0" customWidth="1"/>
    <x:col min="11" max="11" width="3" hidden="0" customWidth="1"/>
    <x:col min="12" max="12" width="18" hidden="0" customWidth="1"/>
    <x:col min="13" max="13" width="14" hidden="0" customWidth="1"/>
    <x:col min="14" max="14" width="8" hidden="0" customWidth="1"/>
  </x:cols>
  <x:sheetData>
    <x:row r="1" ht="34" customHeight="1">
      <x:c r="A1" s="418" t="str">
        <x:v>Service Log | Rose &amp; Paw Applications</x:v>
      </x:c>
      <x:c r="B1" s="418"/>
      <x:c r="C1" s="418"/>
      <x:c r="D1" s="418"/>
      <x:c r="E1" s="418"/>
      <x:c r="F1" s="418"/>
      <x:c r="G1" s="418"/>
      <x:c r="H1" s="418"/>
      <x:c r="I1" s="418"/>
      <x:c r="J1" s="418"/>
      <x:c r="K1" s="418"/>
      <x:c r="L1" s="418"/>
      <x:c r="M1" s="418"/>
      <x:c r="N1" s="388"/>
    </x:row>
    <x:row r="2" ht="28" customHeight="1">
      <x:c r="A2" s="419" t="str">
        <x:f>IFERROR(HYPERLINK("#Dashboard!A1","HOME"),"HOME")</x:f>
        <x:v>HOME</x:v>
      </x:c>
      <x:c r="B2" s="435"/>
      <x:c r="C2" s="419" t="str">
        <x:f>IFERROR(HYPERLINK("#'Maintenance Center'!A1","MAINTENANCE"),"MAINTENANCE")</x:f>
        <x:v>MAINTENANCE</x:v>
      </x:c>
      <x:c r="D2" s="435"/>
      <x:c r="E2" s="419" t="str">
        <x:f>IFERROR(HYPERLINK("#Checklist!A1","CHECKLIST"),"CHECKLIST")</x:f>
        <x:v>CHECKLIST</x:v>
      </x:c>
      <x:c r="F2" s="436"/>
      <x:c r="G2" s="424" t="str">
        <x:v>SERVICE LOG</x:v>
      </x:c>
      <x:c r="H2" s="436"/>
      <x:c r="I2" s="419" t="str">
        <x:f>IFERROR(HYPERLINK("#Instructions!A1","HELP"),"HELP")</x:f>
        <x:v>HELP</x:v>
      </x:c>
      <x:c r="J2" s="435"/>
      <x:c r="K2" s="423"/>
      <x:c r="L2" s="423"/>
      <x:c r="M2" s="423"/>
      <x:c r="N2" s="389"/>
    </x:row>
    <x:row r="3" ht="30" customHeight="1">
      <x:c r="A3" s="392" t="str">
        <x:v>Add one row after each completed service, repair, adjustment, part replacement or investigated problem. This is the permanent history and never resets.</x:v>
      </x:c>
      <x:c r="B3" s="392"/>
      <x:c r="C3" s="392"/>
      <x:c r="D3" s="392"/>
      <x:c r="E3" s="392"/>
      <x:c r="F3" s="392"/>
      <x:c r="G3" s="392"/>
      <x:c r="H3" s="392"/>
      <x:c r="I3" s="392"/>
      <x:c r="J3" s="392"/>
      <x:c r="K3" s="389"/>
      <x:c r="L3" s="389"/>
      <x:c r="M3" s="389"/>
      <x:c r="N3" s="389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30" customHeight="1">
      <x:c r="A5" s="412" t="str">
        <x:v>Date</x:v>
      </x:c>
      <x:c r="B5" s="412" t="str">
        <x:v>Printer Hours</x:v>
      </x:c>
      <x:c r="C5" s="412" t="str">
        <x:v>Maintenance Group</x:v>
      </x:c>
      <x:c r="D5" s="412" t="str">
        <x:v>Work Performed</x:v>
      </x:c>
      <x:c r="E5" s="412" t="str">
        <x:v>Completed By</x:v>
      </x:c>
      <x:c r="F5" s="412" t="str">
        <x:v>Parts / Consumables</x:v>
      </x:c>
      <x:c r="G5" s="412" t="str">
        <x:v>Observations</x:v>
      </x:c>
      <x:c r="H5" s="412" t="str">
        <x:v>Follow-up?</x:v>
      </x:c>
      <x:c r="I5" s="412" t="str">
        <x:v>Follow-up Date</x:v>
      </x:c>
      <x:c r="J5" s="412" t="str">
        <x:v>Cost (CAD)</x:v>
      </x:c>
      <x:c r="K5" s="2"/>
      <x:c r="L5" s="437" t="str">
        <x:v>SERVICE HISTORY</x:v>
      </x:c>
      <x:c r="M5" s="437"/>
      <x:c r="N5" s="360"/>
    </x:row>
    <x:row r="6">
      <x:c r="A6" s="230"/>
      <x:c r="B6" s="228"/>
      <x:c r="C6" s="228"/>
      <x:c r="D6" s="228"/>
      <x:c r="E6" s="228"/>
      <x:c r="F6" s="228"/>
      <x:c r="G6" s="228"/>
      <x:c r="H6" s="228"/>
      <x:c r="I6" s="230"/>
      <x:c r="J6" s="232"/>
      <x:c r="K6" s="2"/>
      <x:c r="L6" s="393" t="str">
        <x:v>Entries</x:v>
      </x:c>
      <x:c r="M6" s="395" t="n">
        <x:f>COUNTA(A6:A105)</x:f>
        <x:v>0</x:v>
      </x:c>
      <x:c r="N6" s="395"/>
    </x:row>
    <x:row r="7">
      <x:c r="A7" s="230"/>
      <x:c r="B7" s="228"/>
      <x:c r="C7" s="228"/>
      <x:c r="D7" s="228"/>
      <x:c r="E7" s="228"/>
      <x:c r="F7" s="228"/>
      <x:c r="G7" s="228"/>
      <x:c r="H7" s="228"/>
      <x:c r="I7" s="230"/>
      <x:c r="J7" s="232"/>
      <x:c r="K7" s="2"/>
      <x:c r="L7" s="393" t="str">
        <x:v>Total cost</x:v>
      </x:c>
      <x:c r="M7" s="397" t="n">
        <x:f>SUM(J6:J105)</x:f>
        <x:v>0</x:v>
      </x:c>
      <x:c r="N7" s="397"/>
    </x:row>
    <x:row r="8">
      <x:c r="A8" s="230"/>
      <x:c r="B8" s="228"/>
      <x:c r="C8" s="228"/>
      <x:c r="D8" s="228"/>
      <x:c r="E8" s="228"/>
      <x:c r="F8" s="228"/>
      <x:c r="G8" s="228"/>
      <x:c r="H8" s="228"/>
      <x:c r="I8" s="230"/>
      <x:c r="J8" s="232"/>
      <x:c r="K8" s="2"/>
      <x:c r="L8" s="393" t="str">
        <x:v>Last service</x:v>
      </x:c>
      <x:c r="M8" s="399" t="str">
        <x:f>IF(COUNTA(A6:A105)=0,"",MAX(A6:A105))</x:f>
      </x:c>
      <x:c r="N8" s="399"/>
    </x:row>
    <x:row r="9">
      <x:c r="A9" s="230"/>
      <x:c r="B9" s="228"/>
      <x:c r="C9" s="228"/>
      <x:c r="D9" s="228"/>
      <x:c r="E9" s="228"/>
      <x:c r="F9" s="228"/>
      <x:c r="G9" s="228"/>
      <x:c r="H9" s="228"/>
      <x:c r="I9" s="230"/>
      <x:c r="J9" s="232"/>
      <x:c r="K9" s="2"/>
      <x:c r="L9" s="2"/>
      <x:c r="M9" s="2"/>
      <x:c r="N9" s="2"/>
    </x:row>
    <x:row r="10">
      <x:c r="A10" s="230"/>
      <x:c r="B10" s="228"/>
      <x:c r="C10" s="228"/>
      <x:c r="D10" s="228"/>
      <x:c r="E10" s="228"/>
      <x:c r="F10" s="228"/>
      <x:c r="G10" s="228"/>
      <x:c r="H10" s="228"/>
      <x:c r="I10" s="230"/>
      <x:c r="J10" s="232"/>
      <x:c r="K10" s="2"/>
      <x:c r="L10" s="2"/>
      <x:c r="M10" s="2"/>
      <x:c r="N10" s="2"/>
    </x:row>
    <x:row r="11">
      <x:c r="A11" s="230"/>
      <x:c r="B11" s="228"/>
      <x:c r="C11" s="228"/>
      <x:c r="D11" s="228"/>
      <x:c r="E11" s="228"/>
      <x:c r="F11" s="228"/>
      <x:c r="G11" s="228"/>
      <x:c r="H11" s="228"/>
      <x:c r="I11" s="230"/>
      <x:c r="J11" s="232"/>
      <x:c r="K11" s="2"/>
      <x:c r="L11" s="2"/>
      <x:c r="M11" s="2"/>
      <x:c r="N11" s="2"/>
    </x:row>
    <x:row r="12">
      <x:c r="A12" s="230"/>
      <x:c r="B12" s="228"/>
      <x:c r="C12" s="228"/>
      <x:c r="D12" s="228"/>
      <x:c r="E12" s="228"/>
      <x:c r="F12" s="228"/>
      <x:c r="G12" s="228"/>
      <x:c r="H12" s="228"/>
      <x:c r="I12" s="230"/>
      <x:c r="J12" s="232"/>
      <x:c r="K12" s="2"/>
      <x:c r="L12" s="2"/>
      <x:c r="M12" s="2"/>
      <x:c r="N12" s="2"/>
    </x:row>
    <x:row r="13">
      <x:c r="A13" s="230"/>
      <x:c r="B13" s="228"/>
      <x:c r="C13" s="228"/>
      <x:c r="D13" s="228"/>
      <x:c r="E13" s="228"/>
      <x:c r="F13" s="228"/>
      <x:c r="G13" s="228"/>
      <x:c r="H13" s="228"/>
      <x:c r="I13" s="230"/>
      <x:c r="J13" s="232"/>
      <x:c r="K13" s="2"/>
      <x:c r="L13" s="2"/>
      <x:c r="M13" s="2"/>
      <x:c r="N13" s="2"/>
    </x:row>
    <x:row r="14">
      <x:c r="A14" s="230"/>
      <x:c r="B14" s="228"/>
      <x:c r="C14" s="228"/>
      <x:c r="D14" s="228"/>
      <x:c r="E14" s="228"/>
      <x:c r="F14" s="228"/>
      <x:c r="G14" s="228"/>
      <x:c r="H14" s="228"/>
      <x:c r="I14" s="230"/>
      <x:c r="J14" s="232"/>
      <x:c r="K14" s="2"/>
      <x:c r="L14" s="2"/>
      <x:c r="M14" s="2"/>
      <x:c r="N14" s="2"/>
    </x:row>
    <x:row r="15">
      <x:c r="A15" s="230"/>
      <x:c r="B15" s="228"/>
      <x:c r="C15" s="228"/>
      <x:c r="D15" s="228"/>
      <x:c r="E15" s="228"/>
      <x:c r="F15" s="228"/>
      <x:c r="G15" s="228"/>
      <x:c r="H15" s="228"/>
      <x:c r="I15" s="230"/>
      <x:c r="J15" s="232"/>
      <x:c r="K15" s="2"/>
      <x:c r="L15" s="2"/>
      <x:c r="M15" s="2"/>
      <x:c r="N15" s="2"/>
    </x:row>
    <x:row r="16">
      <x:c r="A16" s="230"/>
      <x:c r="B16" s="228"/>
      <x:c r="C16" s="228"/>
      <x:c r="D16" s="228"/>
      <x:c r="E16" s="228"/>
      <x:c r="F16" s="228"/>
      <x:c r="G16" s="228"/>
      <x:c r="H16" s="228"/>
      <x:c r="I16" s="230"/>
      <x:c r="J16" s="232"/>
      <x:c r="K16" s="2"/>
      <x:c r="L16" s="2"/>
      <x:c r="M16" s="2"/>
      <x:c r="N16" s="2"/>
    </x:row>
    <x:row r="17">
      <x:c r="A17" s="230"/>
      <x:c r="B17" s="228"/>
      <x:c r="C17" s="228"/>
      <x:c r="D17" s="228"/>
      <x:c r="E17" s="228"/>
      <x:c r="F17" s="228"/>
      <x:c r="G17" s="228"/>
      <x:c r="H17" s="228"/>
      <x:c r="I17" s="230"/>
      <x:c r="J17" s="232"/>
      <x:c r="K17" s="2"/>
      <x:c r="L17" s="2"/>
      <x:c r="M17" s="2"/>
      <x:c r="N17" s="2"/>
    </x:row>
    <x:row r="18">
      <x:c r="A18" s="230"/>
      <x:c r="B18" s="228"/>
      <x:c r="C18" s="228"/>
      <x:c r="D18" s="228"/>
      <x:c r="E18" s="228"/>
      <x:c r="F18" s="228"/>
      <x:c r="G18" s="228"/>
      <x:c r="H18" s="228"/>
      <x:c r="I18" s="230"/>
      <x:c r="J18" s="232"/>
      <x:c r="K18" s="2"/>
      <x:c r="L18" s="2"/>
      <x:c r="M18" s="2"/>
      <x:c r="N18" s="2"/>
    </x:row>
    <x:row r="19">
      <x:c r="A19" s="230"/>
      <x:c r="B19" s="228"/>
      <x:c r="C19" s="228"/>
      <x:c r="D19" s="228"/>
      <x:c r="E19" s="228"/>
      <x:c r="F19" s="228"/>
      <x:c r="G19" s="228"/>
      <x:c r="H19" s="228"/>
      <x:c r="I19" s="230"/>
      <x:c r="J19" s="232"/>
      <x:c r="K19" s="2"/>
      <x:c r="L19" s="2"/>
      <x:c r="M19" s="2"/>
      <x:c r="N19" s="2"/>
    </x:row>
    <x:row r="20">
      <x:c r="A20" s="230"/>
      <x:c r="B20" s="228"/>
      <x:c r="C20" s="228"/>
      <x:c r="D20" s="228"/>
      <x:c r="E20" s="228"/>
      <x:c r="F20" s="228"/>
      <x:c r="G20" s="228"/>
      <x:c r="H20" s="228"/>
      <x:c r="I20" s="230"/>
      <x:c r="J20" s="232"/>
      <x:c r="K20" s="2"/>
      <x:c r="L20" s="2"/>
      <x:c r="M20" s="2"/>
      <x:c r="N20" s="2"/>
    </x:row>
    <x:row r="21">
      <x:c r="A21" s="230"/>
      <x:c r="B21" s="228"/>
      <x:c r="C21" s="228"/>
      <x:c r="D21" s="228"/>
      <x:c r="E21" s="228"/>
      <x:c r="F21" s="228"/>
      <x:c r="G21" s="228"/>
      <x:c r="H21" s="228"/>
      <x:c r="I21" s="230"/>
      <x:c r="J21" s="232"/>
      <x:c r="K21" s="2"/>
      <x:c r="L21" s="2"/>
      <x:c r="M21" s="2"/>
      <x:c r="N21" s="2"/>
    </x:row>
    <x:row r="22">
      <x:c r="A22" s="230"/>
      <x:c r="B22" s="228"/>
      <x:c r="C22" s="228"/>
      <x:c r="D22" s="228"/>
      <x:c r="E22" s="228"/>
      <x:c r="F22" s="228"/>
      <x:c r="G22" s="228"/>
      <x:c r="H22" s="228"/>
      <x:c r="I22" s="230"/>
      <x:c r="J22" s="232"/>
      <x:c r="K22" s="2"/>
      <x:c r="L22" s="2"/>
      <x:c r="M22" s="2"/>
      <x:c r="N22" s="2"/>
    </x:row>
    <x:row r="23">
      <x:c r="A23" s="230"/>
      <x:c r="B23" s="228"/>
      <x:c r="C23" s="228"/>
      <x:c r="D23" s="228"/>
      <x:c r="E23" s="228"/>
      <x:c r="F23" s="228"/>
      <x:c r="G23" s="228"/>
      <x:c r="H23" s="228"/>
      <x:c r="I23" s="230"/>
      <x:c r="J23" s="232"/>
      <x:c r="K23" s="2"/>
      <x:c r="L23" s="2"/>
      <x:c r="M23" s="2"/>
      <x:c r="N23" s="2"/>
    </x:row>
    <x:row r="24">
      <x:c r="A24" s="230"/>
      <x:c r="B24" s="228"/>
      <x:c r="C24" s="228"/>
      <x:c r="D24" s="228"/>
      <x:c r="E24" s="228"/>
      <x:c r="F24" s="228"/>
      <x:c r="G24" s="228"/>
      <x:c r="H24" s="228"/>
      <x:c r="I24" s="230"/>
      <x:c r="J24" s="232"/>
      <x:c r="K24" s="2"/>
      <x:c r="L24" s="2"/>
      <x:c r="M24" s="2"/>
      <x:c r="N24" s="2"/>
    </x:row>
    <x:row r="25">
      <x:c r="A25" s="230"/>
      <x:c r="B25" s="228"/>
      <x:c r="C25" s="228"/>
      <x:c r="D25" s="228"/>
      <x:c r="E25" s="228"/>
      <x:c r="F25" s="228"/>
      <x:c r="G25" s="228"/>
      <x:c r="H25" s="228"/>
      <x:c r="I25" s="230"/>
      <x:c r="J25" s="232"/>
      <x:c r="K25" s="2"/>
      <x:c r="L25" s="2"/>
      <x:c r="M25" s="2"/>
      <x:c r="N25" s="2"/>
    </x:row>
    <x:row r="26">
      <x:c r="A26" s="230"/>
      <x:c r="B26" s="228"/>
      <x:c r="C26" s="228"/>
      <x:c r="D26" s="228"/>
      <x:c r="E26" s="228"/>
      <x:c r="F26" s="228"/>
      <x:c r="G26" s="228"/>
      <x:c r="H26" s="228"/>
      <x:c r="I26" s="230"/>
      <x:c r="J26" s="232"/>
      <x:c r="K26" s="2"/>
      <x:c r="L26" s="2"/>
      <x:c r="M26" s="2"/>
      <x:c r="N26" s="2"/>
    </x:row>
    <x:row r="27">
      <x:c r="A27" s="230"/>
      <x:c r="B27" s="228"/>
      <x:c r="C27" s="228"/>
      <x:c r="D27" s="228"/>
      <x:c r="E27" s="228"/>
      <x:c r="F27" s="228"/>
      <x:c r="G27" s="228"/>
      <x:c r="H27" s="228"/>
      <x:c r="I27" s="230"/>
      <x:c r="J27" s="232"/>
      <x:c r="K27" s="2"/>
      <x:c r="L27" s="2"/>
      <x:c r="M27" s="2"/>
      <x:c r="N27" s="2"/>
    </x:row>
    <x:row r="28">
      <x:c r="A28" s="230"/>
      <x:c r="B28" s="228"/>
      <x:c r="C28" s="228"/>
      <x:c r="D28" s="228"/>
      <x:c r="E28" s="228"/>
      <x:c r="F28" s="228"/>
      <x:c r="G28" s="228"/>
      <x:c r="H28" s="228"/>
      <x:c r="I28" s="230"/>
      <x:c r="J28" s="232"/>
      <x:c r="K28" s="2"/>
      <x:c r="L28" s="2"/>
      <x:c r="M28" s="2"/>
      <x:c r="N28" s="2"/>
    </x:row>
    <x:row r="29">
      <x:c r="A29" s="230"/>
      <x:c r="B29" s="228"/>
      <x:c r="C29" s="228"/>
      <x:c r="D29" s="228"/>
      <x:c r="E29" s="228"/>
      <x:c r="F29" s="228"/>
      <x:c r="G29" s="228"/>
      <x:c r="H29" s="228"/>
      <x:c r="I29" s="230"/>
      <x:c r="J29" s="232"/>
      <x:c r="K29" s="2"/>
      <x:c r="L29" s="2"/>
      <x:c r="M29" s="2"/>
      <x:c r="N29" s="2"/>
    </x:row>
    <x:row r="30">
      <x:c r="A30" s="230"/>
      <x:c r="B30" s="228"/>
      <x:c r="C30" s="228"/>
      <x:c r="D30" s="228"/>
      <x:c r="E30" s="228"/>
      <x:c r="F30" s="228"/>
      <x:c r="G30" s="228"/>
      <x:c r="H30" s="228"/>
      <x:c r="I30" s="230"/>
      <x:c r="J30" s="232"/>
      <x:c r="K30" s="2"/>
      <x:c r="L30" s="2"/>
      <x:c r="M30" s="2"/>
      <x:c r="N30" s="2"/>
    </x:row>
    <x:row r="31">
      <x:c r="A31" s="230"/>
      <x:c r="B31" s="228"/>
      <x:c r="C31" s="228"/>
      <x:c r="D31" s="228"/>
      <x:c r="E31" s="228"/>
      <x:c r="F31" s="228"/>
      <x:c r="G31" s="228"/>
      <x:c r="H31" s="228"/>
      <x:c r="I31" s="230"/>
      <x:c r="J31" s="232"/>
      <x:c r="K31" s="2"/>
      <x:c r="L31" s="2"/>
      <x:c r="M31" s="2"/>
      <x:c r="N31" s="2"/>
    </x:row>
    <x:row r="32">
      <x:c r="A32" s="230"/>
      <x:c r="B32" s="228"/>
      <x:c r="C32" s="228"/>
      <x:c r="D32" s="228"/>
      <x:c r="E32" s="228"/>
      <x:c r="F32" s="228"/>
      <x:c r="G32" s="228"/>
      <x:c r="H32" s="228"/>
      <x:c r="I32" s="230"/>
      <x:c r="J32" s="232"/>
      <x:c r="K32" s="2"/>
      <x:c r="L32" s="2"/>
      <x:c r="M32" s="2"/>
      <x:c r="N32" s="2"/>
    </x:row>
    <x:row r="33">
      <x:c r="A33" s="230"/>
      <x:c r="B33" s="228"/>
      <x:c r="C33" s="228"/>
      <x:c r="D33" s="228"/>
      <x:c r="E33" s="228"/>
      <x:c r="F33" s="228"/>
      <x:c r="G33" s="228"/>
      <x:c r="H33" s="228"/>
      <x:c r="I33" s="230"/>
      <x:c r="J33" s="232"/>
      <x:c r="K33" s="2"/>
      <x:c r="L33" s="2"/>
      <x:c r="M33" s="2"/>
      <x:c r="N33" s="2"/>
    </x:row>
    <x:row r="34">
      <x:c r="A34" s="230"/>
      <x:c r="B34" s="228"/>
      <x:c r="C34" s="228"/>
      <x:c r="D34" s="228"/>
      <x:c r="E34" s="228"/>
      <x:c r="F34" s="228"/>
      <x:c r="G34" s="228"/>
      <x:c r="H34" s="228"/>
      <x:c r="I34" s="230"/>
      <x:c r="J34" s="232"/>
      <x:c r="K34" s="2"/>
      <x:c r="L34" s="2"/>
      <x:c r="M34" s="2"/>
      <x:c r="N34" s="2"/>
    </x:row>
    <x:row r="35">
      <x:c r="A35" s="230"/>
      <x:c r="B35" s="228"/>
      <x:c r="C35" s="228"/>
      <x:c r="D35" s="228"/>
      <x:c r="E35" s="228"/>
      <x:c r="F35" s="228"/>
      <x:c r="G35" s="228"/>
      <x:c r="H35" s="228"/>
      <x:c r="I35" s="230"/>
      <x:c r="J35" s="232"/>
      <x:c r="K35" s="2"/>
      <x:c r="L35" s="2"/>
      <x:c r="M35" s="2"/>
      <x:c r="N35" s="2"/>
    </x:row>
    <x:row r="36">
      <x:c r="A36" s="230"/>
      <x:c r="B36" s="228"/>
      <x:c r="C36" s="228"/>
      <x:c r="D36" s="228"/>
      <x:c r="E36" s="228"/>
      <x:c r="F36" s="228"/>
      <x:c r="G36" s="228"/>
      <x:c r="H36" s="228"/>
      <x:c r="I36" s="230"/>
      <x:c r="J36" s="232"/>
      <x:c r="K36" s="2"/>
      <x:c r="L36" s="2"/>
      <x:c r="M36" s="2"/>
      <x:c r="N36" s="2"/>
    </x:row>
    <x:row r="37">
      <x:c r="A37" s="230"/>
      <x:c r="B37" s="228"/>
      <x:c r="C37" s="228"/>
      <x:c r="D37" s="228"/>
      <x:c r="E37" s="228"/>
      <x:c r="F37" s="228"/>
      <x:c r="G37" s="228"/>
      <x:c r="H37" s="228"/>
      <x:c r="I37" s="230"/>
      <x:c r="J37" s="232"/>
      <x:c r="K37" s="2"/>
      <x:c r="L37" s="2"/>
      <x:c r="M37" s="2"/>
      <x:c r="N37" s="2"/>
    </x:row>
    <x:row r="38">
      <x:c r="A38" s="230"/>
      <x:c r="B38" s="228"/>
      <x:c r="C38" s="228"/>
      <x:c r="D38" s="228"/>
      <x:c r="E38" s="228"/>
      <x:c r="F38" s="228"/>
      <x:c r="G38" s="228"/>
      <x:c r="H38" s="228"/>
      <x:c r="I38" s="230"/>
      <x:c r="J38" s="232"/>
      <x:c r="K38" s="2"/>
      <x:c r="L38" s="2"/>
      <x:c r="M38" s="2"/>
      <x:c r="N38" s="2"/>
    </x:row>
    <x:row r="39">
      <x:c r="A39" s="230"/>
      <x:c r="B39" s="228"/>
      <x:c r="C39" s="228"/>
      <x:c r="D39" s="228"/>
      <x:c r="E39" s="228"/>
      <x:c r="F39" s="228"/>
      <x:c r="G39" s="228"/>
      <x:c r="H39" s="228"/>
      <x:c r="I39" s="230"/>
      <x:c r="J39" s="232"/>
      <x:c r="K39" s="2"/>
      <x:c r="L39" s="2"/>
      <x:c r="M39" s="2"/>
      <x:c r="N39" s="2"/>
    </x:row>
    <x:row r="40">
      <x:c r="A40" s="230"/>
      <x:c r="B40" s="228"/>
      <x:c r="C40" s="228"/>
      <x:c r="D40" s="228"/>
      <x:c r="E40" s="228"/>
      <x:c r="F40" s="228"/>
      <x:c r="G40" s="228"/>
      <x:c r="H40" s="228"/>
      <x:c r="I40" s="230"/>
      <x:c r="J40" s="232"/>
      <x:c r="K40" s="2"/>
      <x:c r="L40" s="2"/>
      <x:c r="M40" s="2"/>
      <x:c r="N40" s="2"/>
    </x:row>
    <x:row r="41">
      <x:c r="A41" s="230"/>
      <x:c r="B41" s="228"/>
      <x:c r="C41" s="228"/>
      <x:c r="D41" s="228"/>
      <x:c r="E41" s="228"/>
      <x:c r="F41" s="228"/>
      <x:c r="G41" s="228"/>
      <x:c r="H41" s="228"/>
      <x:c r="I41" s="230"/>
      <x:c r="J41" s="232"/>
      <x:c r="K41" s="2"/>
      <x:c r="L41" s="2"/>
      <x:c r="M41" s="2"/>
      <x:c r="N41" s="2"/>
    </x:row>
    <x:row r="42">
      <x:c r="A42" s="230"/>
      <x:c r="B42" s="228"/>
      <x:c r="C42" s="228"/>
      <x:c r="D42" s="228"/>
      <x:c r="E42" s="228"/>
      <x:c r="F42" s="228"/>
      <x:c r="G42" s="228"/>
      <x:c r="H42" s="228"/>
      <x:c r="I42" s="230"/>
      <x:c r="J42" s="232"/>
      <x:c r="K42" s="2"/>
      <x:c r="L42" s="2"/>
      <x:c r="M42" s="2"/>
      <x:c r="N42" s="2"/>
    </x:row>
    <x:row r="43">
      <x:c r="A43" s="230"/>
      <x:c r="B43" s="228"/>
      <x:c r="C43" s="228"/>
      <x:c r="D43" s="228"/>
      <x:c r="E43" s="228"/>
      <x:c r="F43" s="228"/>
      <x:c r="G43" s="228"/>
      <x:c r="H43" s="228"/>
      <x:c r="I43" s="230"/>
      <x:c r="J43" s="232"/>
      <x:c r="K43" s="2"/>
      <x:c r="L43" s="2"/>
      <x:c r="M43" s="2"/>
      <x:c r="N43" s="2"/>
    </x:row>
    <x:row r="44">
      <x:c r="A44" s="230"/>
      <x:c r="B44" s="228"/>
      <x:c r="C44" s="228"/>
      <x:c r="D44" s="228"/>
      <x:c r="E44" s="228"/>
      <x:c r="F44" s="228"/>
      <x:c r="G44" s="228"/>
      <x:c r="H44" s="228"/>
      <x:c r="I44" s="230"/>
      <x:c r="J44" s="232"/>
      <x:c r="K44" s="2"/>
      <x:c r="L44" s="2"/>
      <x:c r="M44" s="2"/>
      <x:c r="N44" s="2"/>
    </x:row>
    <x:row r="45">
      <x:c r="A45" s="230"/>
      <x:c r="B45" s="228"/>
      <x:c r="C45" s="228"/>
      <x:c r="D45" s="228"/>
      <x:c r="E45" s="228"/>
      <x:c r="F45" s="228"/>
      <x:c r="G45" s="228"/>
      <x:c r="H45" s="228"/>
      <x:c r="I45" s="230"/>
      <x:c r="J45" s="232"/>
      <x:c r="K45" s="2"/>
      <x:c r="L45" s="2"/>
      <x:c r="M45" s="2"/>
      <x:c r="N45" s="2"/>
    </x:row>
    <x:row r="46">
      <x:c r="A46" s="230"/>
      <x:c r="B46" s="228"/>
      <x:c r="C46" s="228"/>
      <x:c r="D46" s="228"/>
      <x:c r="E46" s="228"/>
      <x:c r="F46" s="228"/>
      <x:c r="G46" s="228"/>
      <x:c r="H46" s="228"/>
      <x:c r="I46" s="230"/>
      <x:c r="J46" s="232"/>
      <x:c r="K46" s="2"/>
      <x:c r="L46" s="2"/>
      <x:c r="M46" s="2"/>
      <x:c r="N46" s="2"/>
    </x:row>
    <x:row r="47">
      <x:c r="A47" s="230"/>
      <x:c r="B47" s="228"/>
      <x:c r="C47" s="228"/>
      <x:c r="D47" s="228"/>
      <x:c r="E47" s="228"/>
      <x:c r="F47" s="228"/>
      <x:c r="G47" s="228"/>
      <x:c r="H47" s="228"/>
      <x:c r="I47" s="230"/>
      <x:c r="J47" s="232"/>
      <x:c r="K47" s="2"/>
      <x:c r="L47" s="2"/>
      <x:c r="M47" s="2"/>
      <x:c r="N47" s="2"/>
    </x:row>
    <x:row r="48">
      <x:c r="A48" s="230"/>
      <x:c r="B48" s="228"/>
      <x:c r="C48" s="228"/>
      <x:c r="D48" s="228"/>
      <x:c r="E48" s="228"/>
      <x:c r="F48" s="228"/>
      <x:c r="G48" s="228"/>
      <x:c r="H48" s="228"/>
      <x:c r="I48" s="230"/>
      <x:c r="J48" s="232"/>
      <x:c r="K48" s="2"/>
      <x:c r="L48" s="2"/>
      <x:c r="M48" s="2"/>
      <x:c r="N48" s="2"/>
    </x:row>
    <x:row r="49">
      <x:c r="A49" s="230"/>
      <x:c r="B49" s="228"/>
      <x:c r="C49" s="228"/>
      <x:c r="D49" s="228"/>
      <x:c r="E49" s="228"/>
      <x:c r="F49" s="228"/>
      <x:c r="G49" s="228"/>
      <x:c r="H49" s="228"/>
      <x:c r="I49" s="230"/>
      <x:c r="J49" s="232"/>
      <x:c r="K49" s="2"/>
      <x:c r="L49" s="2"/>
      <x:c r="M49" s="2"/>
      <x:c r="N49" s="2"/>
    </x:row>
    <x:row r="50">
      <x:c r="A50" s="230"/>
      <x:c r="B50" s="228"/>
      <x:c r="C50" s="228"/>
      <x:c r="D50" s="228"/>
      <x:c r="E50" s="228"/>
      <x:c r="F50" s="228"/>
      <x:c r="G50" s="228"/>
      <x:c r="H50" s="228"/>
      <x:c r="I50" s="230"/>
      <x:c r="J50" s="232"/>
      <x:c r="K50" s="2"/>
      <x:c r="L50" s="2"/>
      <x:c r="M50" s="2"/>
      <x:c r="N50" s="2"/>
    </x:row>
    <x:row r="51">
      <x:c r="A51" s="230"/>
      <x:c r="B51" s="228"/>
      <x:c r="C51" s="228"/>
      <x:c r="D51" s="228"/>
      <x:c r="E51" s="228"/>
      <x:c r="F51" s="228"/>
      <x:c r="G51" s="228"/>
      <x:c r="H51" s="228"/>
      <x:c r="I51" s="230"/>
      <x:c r="J51" s="232"/>
      <x:c r="K51" s="2"/>
      <x:c r="L51" s="2"/>
      <x:c r="M51" s="2"/>
      <x:c r="N51" s="2"/>
    </x:row>
    <x:row r="52">
      <x:c r="A52" s="230"/>
      <x:c r="B52" s="228"/>
      <x:c r="C52" s="228"/>
      <x:c r="D52" s="228"/>
      <x:c r="E52" s="228"/>
      <x:c r="F52" s="228"/>
      <x:c r="G52" s="228"/>
      <x:c r="H52" s="228"/>
      <x:c r="I52" s="230"/>
      <x:c r="J52" s="232"/>
      <x:c r="K52" s="2"/>
      <x:c r="L52" s="2"/>
      <x:c r="M52" s="2"/>
      <x:c r="N52" s="2"/>
    </x:row>
    <x:row r="53">
      <x:c r="A53" s="230"/>
      <x:c r="B53" s="228"/>
      <x:c r="C53" s="228"/>
      <x:c r="D53" s="228"/>
      <x:c r="E53" s="228"/>
      <x:c r="F53" s="228"/>
      <x:c r="G53" s="228"/>
      <x:c r="H53" s="228"/>
      <x:c r="I53" s="230"/>
      <x:c r="J53" s="232"/>
      <x:c r="K53" s="2"/>
      <x:c r="L53" s="2"/>
      <x:c r="M53" s="2"/>
      <x:c r="N53" s="2"/>
    </x:row>
    <x:row r="54">
      <x:c r="A54" s="230"/>
      <x:c r="B54" s="228"/>
      <x:c r="C54" s="228"/>
      <x:c r="D54" s="228"/>
      <x:c r="E54" s="228"/>
      <x:c r="F54" s="228"/>
      <x:c r="G54" s="228"/>
      <x:c r="H54" s="228"/>
      <x:c r="I54" s="230"/>
      <x:c r="J54" s="232"/>
      <x:c r="K54" s="2"/>
      <x:c r="L54" s="2"/>
      <x:c r="M54" s="2"/>
      <x:c r="N54" s="2"/>
    </x:row>
    <x:row r="55">
      <x:c r="A55" s="230"/>
      <x:c r="B55" s="228"/>
      <x:c r="C55" s="228"/>
      <x:c r="D55" s="228"/>
      <x:c r="E55" s="228"/>
      <x:c r="F55" s="228"/>
      <x:c r="G55" s="228"/>
      <x:c r="H55" s="228"/>
      <x:c r="I55" s="230"/>
      <x:c r="J55" s="232"/>
      <x:c r="K55" s="2"/>
      <x:c r="L55" s="2"/>
      <x:c r="M55" s="2"/>
      <x:c r="N55" s="2"/>
    </x:row>
    <x:row r="56">
      <x:c r="A56" s="230"/>
      <x:c r="B56" s="228"/>
      <x:c r="C56" s="228"/>
      <x:c r="D56" s="228"/>
      <x:c r="E56" s="228"/>
      <x:c r="F56" s="228"/>
      <x:c r="G56" s="228"/>
      <x:c r="H56" s="228"/>
      <x:c r="I56" s="230"/>
      <x:c r="J56" s="232"/>
      <x:c r="K56" s="2"/>
      <x:c r="L56" s="2"/>
      <x:c r="M56" s="2"/>
      <x:c r="N56" s="2"/>
    </x:row>
    <x:row r="57">
      <x:c r="A57" s="230"/>
      <x:c r="B57" s="228"/>
      <x:c r="C57" s="228"/>
      <x:c r="D57" s="228"/>
      <x:c r="E57" s="228"/>
      <x:c r="F57" s="228"/>
      <x:c r="G57" s="228"/>
      <x:c r="H57" s="228"/>
      <x:c r="I57" s="230"/>
      <x:c r="J57" s="232"/>
      <x:c r="K57" s="2"/>
      <x:c r="L57" s="2"/>
      <x:c r="M57" s="2"/>
      <x:c r="N57" s="2"/>
    </x:row>
    <x:row r="58">
      <x:c r="A58" s="230"/>
      <x:c r="B58" s="228"/>
      <x:c r="C58" s="228"/>
      <x:c r="D58" s="228"/>
      <x:c r="E58" s="228"/>
      <x:c r="F58" s="228"/>
      <x:c r="G58" s="228"/>
      <x:c r="H58" s="228"/>
      <x:c r="I58" s="230"/>
      <x:c r="J58" s="232"/>
      <x:c r="K58" s="2"/>
      <x:c r="L58" s="2"/>
      <x:c r="M58" s="2"/>
      <x:c r="N58" s="2"/>
    </x:row>
    <x:row r="59">
      <x:c r="A59" s="230"/>
      <x:c r="B59" s="228"/>
      <x:c r="C59" s="228"/>
      <x:c r="D59" s="228"/>
      <x:c r="E59" s="228"/>
      <x:c r="F59" s="228"/>
      <x:c r="G59" s="228"/>
      <x:c r="H59" s="228"/>
      <x:c r="I59" s="230"/>
      <x:c r="J59" s="232"/>
      <x:c r="K59" s="2"/>
      <x:c r="L59" s="2"/>
      <x:c r="M59" s="2"/>
      <x:c r="N59" s="2"/>
    </x:row>
    <x:row r="60">
      <x:c r="A60" s="230"/>
      <x:c r="B60" s="228"/>
      <x:c r="C60" s="228"/>
      <x:c r="D60" s="228"/>
      <x:c r="E60" s="228"/>
      <x:c r="F60" s="228"/>
      <x:c r="G60" s="228"/>
      <x:c r="H60" s="228"/>
      <x:c r="I60" s="230"/>
      <x:c r="J60" s="232"/>
      <x:c r="K60" s="2"/>
      <x:c r="L60" s="2"/>
      <x:c r="M60" s="2"/>
      <x:c r="N60" s="2"/>
    </x:row>
    <x:row r="61">
      <x:c r="A61" s="230"/>
      <x:c r="B61" s="228"/>
      <x:c r="C61" s="228"/>
      <x:c r="D61" s="228"/>
      <x:c r="E61" s="228"/>
      <x:c r="F61" s="228"/>
      <x:c r="G61" s="228"/>
      <x:c r="H61" s="228"/>
      <x:c r="I61" s="230"/>
      <x:c r="J61" s="232"/>
      <x:c r="K61" s="2"/>
      <x:c r="L61" s="2"/>
      <x:c r="M61" s="2"/>
      <x:c r="N61" s="2"/>
    </x:row>
    <x:row r="62">
      <x:c r="A62" s="230"/>
      <x:c r="B62" s="228"/>
      <x:c r="C62" s="228"/>
      <x:c r="D62" s="228"/>
      <x:c r="E62" s="228"/>
      <x:c r="F62" s="228"/>
      <x:c r="G62" s="228"/>
      <x:c r="H62" s="228"/>
      <x:c r="I62" s="230"/>
      <x:c r="J62" s="232"/>
      <x:c r="K62" s="2"/>
      <x:c r="L62" s="2"/>
      <x:c r="M62" s="2"/>
      <x:c r="N62" s="2"/>
    </x:row>
    <x:row r="63">
      <x:c r="A63" s="230"/>
      <x:c r="B63" s="228"/>
      <x:c r="C63" s="228"/>
      <x:c r="D63" s="228"/>
      <x:c r="E63" s="228"/>
      <x:c r="F63" s="228"/>
      <x:c r="G63" s="228"/>
      <x:c r="H63" s="228"/>
      <x:c r="I63" s="230"/>
      <x:c r="J63" s="232"/>
      <x:c r="K63" s="2"/>
      <x:c r="L63" s="2"/>
      <x:c r="M63" s="2"/>
      <x:c r="N63" s="2"/>
    </x:row>
    <x:row r="64">
      <x:c r="A64" s="230"/>
      <x:c r="B64" s="228"/>
      <x:c r="C64" s="228"/>
      <x:c r="D64" s="228"/>
      <x:c r="E64" s="228"/>
      <x:c r="F64" s="228"/>
      <x:c r="G64" s="228"/>
      <x:c r="H64" s="228"/>
      <x:c r="I64" s="230"/>
      <x:c r="J64" s="232"/>
      <x:c r="K64" s="2"/>
      <x:c r="L64" s="2"/>
      <x:c r="M64" s="2"/>
      <x:c r="N64" s="2"/>
    </x:row>
    <x:row r="65">
      <x:c r="A65" s="230"/>
      <x:c r="B65" s="228"/>
      <x:c r="C65" s="228"/>
      <x:c r="D65" s="228"/>
      <x:c r="E65" s="228"/>
      <x:c r="F65" s="228"/>
      <x:c r="G65" s="228"/>
      <x:c r="H65" s="228"/>
      <x:c r="I65" s="230"/>
      <x:c r="J65" s="232"/>
      <x:c r="K65" s="2"/>
      <x:c r="L65" s="2"/>
      <x:c r="M65" s="2"/>
      <x:c r="N65" s="2"/>
    </x:row>
    <x:row r="66">
      <x:c r="A66" s="230"/>
      <x:c r="B66" s="228"/>
      <x:c r="C66" s="228"/>
      <x:c r="D66" s="228"/>
      <x:c r="E66" s="228"/>
      <x:c r="F66" s="228"/>
      <x:c r="G66" s="228"/>
      <x:c r="H66" s="228"/>
      <x:c r="I66" s="230"/>
      <x:c r="J66" s="232"/>
      <x:c r="K66" s="2"/>
      <x:c r="L66" s="2"/>
      <x:c r="M66" s="2"/>
      <x:c r="N66" s="2"/>
    </x:row>
    <x:row r="67">
      <x:c r="A67" s="230"/>
      <x:c r="B67" s="228"/>
      <x:c r="C67" s="228"/>
      <x:c r="D67" s="228"/>
      <x:c r="E67" s="228"/>
      <x:c r="F67" s="228"/>
      <x:c r="G67" s="228"/>
      <x:c r="H67" s="228"/>
      <x:c r="I67" s="230"/>
      <x:c r="J67" s="232"/>
      <x:c r="K67" s="2"/>
      <x:c r="L67" s="2"/>
      <x:c r="M67" s="2"/>
      <x:c r="N67" s="2"/>
    </x:row>
    <x:row r="68">
      <x:c r="A68" s="230"/>
      <x:c r="B68" s="228"/>
      <x:c r="C68" s="228"/>
      <x:c r="D68" s="228"/>
      <x:c r="E68" s="228"/>
      <x:c r="F68" s="228"/>
      <x:c r="G68" s="228"/>
      <x:c r="H68" s="228"/>
      <x:c r="I68" s="230"/>
      <x:c r="J68" s="232"/>
      <x:c r="K68" s="2"/>
      <x:c r="L68" s="2"/>
      <x:c r="M68" s="2"/>
      <x:c r="N68" s="2"/>
    </x:row>
    <x:row r="69">
      <x:c r="A69" s="230"/>
      <x:c r="B69" s="228"/>
      <x:c r="C69" s="228"/>
      <x:c r="D69" s="228"/>
      <x:c r="E69" s="228"/>
      <x:c r="F69" s="228"/>
      <x:c r="G69" s="228"/>
      <x:c r="H69" s="228"/>
      <x:c r="I69" s="230"/>
      <x:c r="J69" s="232"/>
      <x:c r="K69" s="2"/>
      <x:c r="L69" s="2"/>
      <x:c r="M69" s="2"/>
      <x:c r="N69" s="2"/>
    </x:row>
    <x:row r="70">
      <x:c r="A70" s="230"/>
      <x:c r="B70" s="228"/>
      <x:c r="C70" s="228"/>
      <x:c r="D70" s="228"/>
      <x:c r="E70" s="228"/>
      <x:c r="F70" s="228"/>
      <x:c r="G70" s="228"/>
      <x:c r="H70" s="228"/>
      <x:c r="I70" s="230"/>
      <x:c r="J70" s="232"/>
      <x:c r="K70" s="2"/>
      <x:c r="L70" s="2"/>
      <x:c r="M70" s="2"/>
      <x:c r="N70" s="2"/>
    </x:row>
    <x:row r="71">
      <x:c r="A71" s="230"/>
      <x:c r="B71" s="228"/>
      <x:c r="C71" s="228"/>
      <x:c r="D71" s="228"/>
      <x:c r="E71" s="228"/>
      <x:c r="F71" s="228"/>
      <x:c r="G71" s="228"/>
      <x:c r="H71" s="228"/>
      <x:c r="I71" s="230"/>
      <x:c r="J71" s="232"/>
      <x:c r="K71" s="2"/>
      <x:c r="L71" s="2"/>
      <x:c r="M71" s="2"/>
      <x:c r="N71" s="2"/>
    </x:row>
    <x:row r="72">
      <x:c r="A72" s="230"/>
      <x:c r="B72" s="228"/>
      <x:c r="C72" s="228"/>
      <x:c r="D72" s="228"/>
      <x:c r="E72" s="228"/>
      <x:c r="F72" s="228"/>
      <x:c r="G72" s="228"/>
      <x:c r="H72" s="228"/>
      <x:c r="I72" s="230"/>
      <x:c r="J72" s="232"/>
      <x:c r="K72" s="2"/>
      <x:c r="L72" s="2"/>
      <x:c r="M72" s="2"/>
      <x:c r="N72" s="2"/>
    </x:row>
    <x:row r="73">
      <x:c r="A73" s="230"/>
      <x:c r="B73" s="228"/>
      <x:c r="C73" s="228"/>
      <x:c r="D73" s="228"/>
      <x:c r="E73" s="228"/>
      <x:c r="F73" s="228"/>
      <x:c r="G73" s="228"/>
      <x:c r="H73" s="228"/>
      <x:c r="I73" s="230"/>
      <x:c r="J73" s="232"/>
      <x:c r="K73" s="2"/>
      <x:c r="L73" s="2"/>
      <x:c r="M73" s="2"/>
      <x:c r="N73" s="2"/>
    </x:row>
    <x:row r="74">
      <x:c r="A74" s="230"/>
      <x:c r="B74" s="228"/>
      <x:c r="C74" s="228"/>
      <x:c r="D74" s="228"/>
      <x:c r="E74" s="228"/>
      <x:c r="F74" s="228"/>
      <x:c r="G74" s="228"/>
      <x:c r="H74" s="228"/>
      <x:c r="I74" s="230"/>
      <x:c r="J74" s="232"/>
      <x:c r="K74" s="2"/>
      <x:c r="L74" s="2"/>
      <x:c r="M74" s="2"/>
      <x:c r="N74" s="2"/>
    </x:row>
    <x:row r="75">
      <x:c r="A75" s="230"/>
      <x:c r="B75" s="228"/>
      <x:c r="C75" s="228"/>
      <x:c r="D75" s="228"/>
      <x:c r="E75" s="228"/>
      <x:c r="F75" s="228"/>
      <x:c r="G75" s="228"/>
      <x:c r="H75" s="228"/>
      <x:c r="I75" s="230"/>
      <x:c r="J75" s="232"/>
      <x:c r="K75" s="2"/>
      <x:c r="L75" s="2"/>
      <x:c r="M75" s="2"/>
      <x:c r="N75" s="2"/>
    </x:row>
    <x:row r="76">
      <x:c r="A76" s="230"/>
      <x:c r="B76" s="228"/>
      <x:c r="C76" s="228"/>
      <x:c r="D76" s="228"/>
      <x:c r="E76" s="228"/>
      <x:c r="F76" s="228"/>
      <x:c r="G76" s="228"/>
      <x:c r="H76" s="228"/>
      <x:c r="I76" s="230"/>
      <x:c r="J76" s="232"/>
      <x:c r="K76" s="2"/>
      <x:c r="L76" s="2"/>
      <x:c r="M76" s="2"/>
      <x:c r="N76" s="2"/>
    </x:row>
    <x:row r="77">
      <x:c r="A77" s="230"/>
      <x:c r="B77" s="228"/>
      <x:c r="C77" s="228"/>
      <x:c r="D77" s="228"/>
      <x:c r="E77" s="228"/>
      <x:c r="F77" s="228"/>
      <x:c r="G77" s="228"/>
      <x:c r="H77" s="228"/>
      <x:c r="I77" s="230"/>
      <x:c r="J77" s="232"/>
      <x:c r="K77" s="2"/>
      <x:c r="L77" s="2"/>
      <x:c r="M77" s="2"/>
      <x:c r="N77" s="2"/>
    </x:row>
    <x:row r="78">
      <x:c r="A78" s="230"/>
      <x:c r="B78" s="228"/>
      <x:c r="C78" s="228"/>
      <x:c r="D78" s="228"/>
      <x:c r="E78" s="228"/>
      <x:c r="F78" s="228"/>
      <x:c r="G78" s="228"/>
      <x:c r="H78" s="228"/>
      <x:c r="I78" s="230"/>
      <x:c r="J78" s="232"/>
      <x:c r="K78" s="2"/>
      <x:c r="L78" s="2"/>
      <x:c r="M78" s="2"/>
      <x:c r="N78" s="2"/>
    </x:row>
    <x:row r="79">
      <x:c r="A79" s="230"/>
      <x:c r="B79" s="228"/>
      <x:c r="C79" s="228"/>
      <x:c r="D79" s="228"/>
      <x:c r="E79" s="228"/>
      <x:c r="F79" s="228"/>
      <x:c r="G79" s="228"/>
      <x:c r="H79" s="228"/>
      <x:c r="I79" s="230"/>
      <x:c r="J79" s="232"/>
      <x:c r="K79" s="2"/>
      <x:c r="L79" s="2"/>
      <x:c r="M79" s="2"/>
      <x:c r="N79" s="2"/>
    </x:row>
    <x:row r="80">
      <x:c r="A80" s="230"/>
      <x:c r="B80" s="228"/>
      <x:c r="C80" s="228"/>
      <x:c r="D80" s="228"/>
      <x:c r="E80" s="228"/>
      <x:c r="F80" s="228"/>
      <x:c r="G80" s="228"/>
      <x:c r="H80" s="228"/>
      <x:c r="I80" s="230"/>
      <x:c r="J80" s="232"/>
      <x:c r="K80" s="2"/>
      <x:c r="L80" s="2"/>
      <x:c r="M80" s="2"/>
      <x:c r="N80" s="2"/>
    </x:row>
    <x:row r="81">
      <x:c r="A81" s="230"/>
      <x:c r="B81" s="228"/>
      <x:c r="C81" s="228"/>
      <x:c r="D81" s="228"/>
      <x:c r="E81" s="228"/>
      <x:c r="F81" s="228"/>
      <x:c r="G81" s="228"/>
      <x:c r="H81" s="228"/>
      <x:c r="I81" s="230"/>
      <x:c r="J81" s="232"/>
      <x:c r="K81" s="2"/>
      <x:c r="L81" s="2"/>
      <x:c r="M81" s="2"/>
      <x:c r="N81" s="2"/>
    </x:row>
    <x:row r="82">
      <x:c r="A82" s="230"/>
      <x:c r="B82" s="228"/>
      <x:c r="C82" s="228"/>
      <x:c r="D82" s="228"/>
      <x:c r="E82" s="228"/>
      <x:c r="F82" s="228"/>
      <x:c r="G82" s="228"/>
      <x:c r="H82" s="228"/>
      <x:c r="I82" s="230"/>
      <x:c r="J82" s="232"/>
      <x:c r="K82" s="2"/>
      <x:c r="L82" s="2"/>
      <x:c r="M82" s="2"/>
      <x:c r="N82" s="2"/>
    </x:row>
    <x:row r="83">
      <x:c r="A83" s="230"/>
      <x:c r="B83" s="228"/>
      <x:c r="C83" s="228"/>
      <x:c r="D83" s="228"/>
      <x:c r="E83" s="228"/>
      <x:c r="F83" s="228"/>
      <x:c r="G83" s="228"/>
      <x:c r="H83" s="228"/>
      <x:c r="I83" s="230"/>
      <x:c r="J83" s="232"/>
      <x:c r="K83" s="2"/>
      <x:c r="L83" s="2"/>
      <x:c r="M83" s="2"/>
      <x:c r="N83" s="2"/>
    </x:row>
    <x:row r="84">
      <x:c r="A84" s="230"/>
      <x:c r="B84" s="228"/>
      <x:c r="C84" s="228"/>
      <x:c r="D84" s="228"/>
      <x:c r="E84" s="228"/>
      <x:c r="F84" s="228"/>
      <x:c r="G84" s="228"/>
      <x:c r="H84" s="228"/>
      <x:c r="I84" s="230"/>
      <x:c r="J84" s="232"/>
      <x:c r="K84" s="2"/>
      <x:c r="L84" s="2"/>
      <x:c r="M84" s="2"/>
      <x:c r="N84" s="2"/>
    </x:row>
    <x:row r="85">
      <x:c r="A85" s="230"/>
      <x:c r="B85" s="228"/>
      <x:c r="C85" s="228"/>
      <x:c r="D85" s="228"/>
      <x:c r="E85" s="228"/>
      <x:c r="F85" s="228"/>
      <x:c r="G85" s="228"/>
      <x:c r="H85" s="228"/>
      <x:c r="I85" s="230"/>
      <x:c r="J85" s="232"/>
      <x:c r="K85" s="2"/>
      <x:c r="L85" s="2"/>
      <x:c r="M85" s="2"/>
      <x:c r="N85" s="2"/>
    </x:row>
    <x:row r="86">
      <x:c r="A86" s="230"/>
      <x:c r="B86" s="228"/>
      <x:c r="C86" s="228"/>
      <x:c r="D86" s="228"/>
      <x:c r="E86" s="228"/>
      <x:c r="F86" s="228"/>
      <x:c r="G86" s="228"/>
      <x:c r="H86" s="228"/>
      <x:c r="I86" s="230"/>
      <x:c r="J86" s="232"/>
      <x:c r="K86" s="2"/>
      <x:c r="L86" s="2"/>
      <x:c r="M86" s="2"/>
      <x:c r="N86" s="2"/>
    </x:row>
    <x:row r="87">
      <x:c r="A87" s="230"/>
      <x:c r="B87" s="228"/>
      <x:c r="C87" s="228"/>
      <x:c r="D87" s="228"/>
      <x:c r="E87" s="228"/>
      <x:c r="F87" s="228"/>
      <x:c r="G87" s="228"/>
      <x:c r="H87" s="228"/>
      <x:c r="I87" s="230"/>
      <x:c r="J87" s="232"/>
      <x:c r="K87" s="2"/>
      <x:c r="L87" s="2"/>
      <x:c r="M87" s="2"/>
      <x:c r="N87" s="2"/>
    </x:row>
    <x:row r="88">
      <x:c r="A88" s="230"/>
      <x:c r="B88" s="228"/>
      <x:c r="C88" s="228"/>
      <x:c r="D88" s="228"/>
      <x:c r="E88" s="228"/>
      <x:c r="F88" s="228"/>
      <x:c r="G88" s="228"/>
      <x:c r="H88" s="228"/>
      <x:c r="I88" s="230"/>
      <x:c r="J88" s="232"/>
      <x:c r="K88" s="2"/>
      <x:c r="L88" s="2"/>
      <x:c r="M88" s="2"/>
      <x:c r="N88" s="2"/>
    </x:row>
    <x:row r="89">
      <x:c r="A89" s="230"/>
      <x:c r="B89" s="228"/>
      <x:c r="C89" s="228"/>
      <x:c r="D89" s="228"/>
      <x:c r="E89" s="228"/>
      <x:c r="F89" s="228"/>
      <x:c r="G89" s="228"/>
      <x:c r="H89" s="228"/>
      <x:c r="I89" s="230"/>
      <x:c r="J89" s="232"/>
      <x:c r="K89" s="2"/>
      <x:c r="L89" s="2"/>
      <x:c r="M89" s="2"/>
      <x:c r="N89" s="2"/>
    </x:row>
    <x:row r="90">
      <x:c r="A90" s="230"/>
      <x:c r="B90" s="228"/>
      <x:c r="C90" s="228"/>
      <x:c r="D90" s="228"/>
      <x:c r="E90" s="228"/>
      <x:c r="F90" s="228"/>
      <x:c r="G90" s="228"/>
      <x:c r="H90" s="228"/>
      <x:c r="I90" s="230"/>
      <x:c r="J90" s="232"/>
      <x:c r="K90" s="2"/>
      <x:c r="L90" s="2"/>
      <x:c r="M90" s="2"/>
      <x:c r="N90" s="2"/>
    </x:row>
    <x:row r="91">
      <x:c r="A91" s="230"/>
      <x:c r="B91" s="228"/>
      <x:c r="C91" s="228"/>
      <x:c r="D91" s="228"/>
      <x:c r="E91" s="228"/>
      <x:c r="F91" s="228"/>
      <x:c r="G91" s="228"/>
      <x:c r="H91" s="228"/>
      <x:c r="I91" s="230"/>
      <x:c r="J91" s="232"/>
      <x:c r="K91" s="2"/>
      <x:c r="L91" s="2"/>
      <x:c r="M91" s="2"/>
      <x:c r="N91" s="2"/>
    </x:row>
    <x:row r="92">
      <x:c r="A92" s="230"/>
      <x:c r="B92" s="228"/>
      <x:c r="C92" s="228"/>
      <x:c r="D92" s="228"/>
      <x:c r="E92" s="228"/>
      <x:c r="F92" s="228"/>
      <x:c r="G92" s="228"/>
      <x:c r="H92" s="228"/>
      <x:c r="I92" s="230"/>
      <x:c r="J92" s="232"/>
      <x:c r="K92" s="2"/>
      <x:c r="L92" s="2"/>
      <x:c r="M92" s="2"/>
      <x:c r="N92" s="2"/>
    </x:row>
    <x:row r="93">
      <x:c r="A93" s="230"/>
      <x:c r="B93" s="228"/>
      <x:c r="C93" s="228"/>
      <x:c r="D93" s="228"/>
      <x:c r="E93" s="228"/>
      <x:c r="F93" s="228"/>
      <x:c r="G93" s="228"/>
      <x:c r="H93" s="228"/>
      <x:c r="I93" s="230"/>
      <x:c r="J93" s="232"/>
      <x:c r="K93" s="2"/>
      <x:c r="L93" s="2"/>
      <x:c r="M93" s="2"/>
      <x:c r="N93" s="2"/>
    </x:row>
    <x:row r="94">
      <x:c r="A94" s="230"/>
      <x:c r="B94" s="228"/>
      <x:c r="C94" s="228"/>
      <x:c r="D94" s="228"/>
      <x:c r="E94" s="228"/>
      <x:c r="F94" s="228"/>
      <x:c r="G94" s="228"/>
      <x:c r="H94" s="228"/>
      <x:c r="I94" s="230"/>
      <x:c r="J94" s="232"/>
      <x:c r="K94" s="2"/>
      <x:c r="L94" s="2"/>
      <x:c r="M94" s="2"/>
      <x:c r="N94" s="2"/>
    </x:row>
    <x:row r="95">
      <x:c r="A95" s="230"/>
      <x:c r="B95" s="228"/>
      <x:c r="C95" s="228"/>
      <x:c r="D95" s="228"/>
      <x:c r="E95" s="228"/>
      <x:c r="F95" s="228"/>
      <x:c r="G95" s="228"/>
      <x:c r="H95" s="228"/>
      <x:c r="I95" s="230"/>
      <x:c r="J95" s="232"/>
      <x:c r="K95" s="2"/>
      <x:c r="L95" s="2"/>
      <x:c r="M95" s="2"/>
      <x:c r="N95" s="2"/>
    </x:row>
    <x:row r="96">
      <x:c r="A96" s="230"/>
      <x:c r="B96" s="228"/>
      <x:c r="C96" s="228"/>
      <x:c r="D96" s="228"/>
      <x:c r="E96" s="228"/>
      <x:c r="F96" s="228"/>
      <x:c r="G96" s="228"/>
      <x:c r="H96" s="228"/>
      <x:c r="I96" s="230"/>
      <x:c r="J96" s="232"/>
      <x:c r="K96" s="2"/>
      <x:c r="L96" s="2"/>
      <x:c r="M96" s="2"/>
      <x:c r="N96" s="2"/>
    </x:row>
    <x:row r="97">
      <x:c r="A97" s="230"/>
      <x:c r="B97" s="228"/>
      <x:c r="C97" s="228"/>
      <x:c r="D97" s="228"/>
      <x:c r="E97" s="228"/>
      <x:c r="F97" s="228"/>
      <x:c r="G97" s="228"/>
      <x:c r="H97" s="228"/>
      <x:c r="I97" s="230"/>
      <x:c r="J97" s="232"/>
      <x:c r="K97" s="2"/>
      <x:c r="L97" s="2"/>
      <x:c r="M97" s="2"/>
      <x:c r="N97" s="2"/>
    </x:row>
    <x:row r="98">
      <x:c r="A98" s="230"/>
      <x:c r="B98" s="228"/>
      <x:c r="C98" s="228"/>
      <x:c r="D98" s="228"/>
      <x:c r="E98" s="228"/>
      <x:c r="F98" s="228"/>
      <x:c r="G98" s="228"/>
      <x:c r="H98" s="228"/>
      <x:c r="I98" s="230"/>
      <x:c r="J98" s="232"/>
      <x:c r="K98" s="2"/>
      <x:c r="L98" s="2"/>
      <x:c r="M98" s="2"/>
      <x:c r="N98" s="2"/>
    </x:row>
    <x:row r="99">
      <x:c r="A99" s="230"/>
      <x:c r="B99" s="228"/>
      <x:c r="C99" s="228"/>
      <x:c r="D99" s="228"/>
      <x:c r="E99" s="228"/>
      <x:c r="F99" s="228"/>
      <x:c r="G99" s="228"/>
      <x:c r="H99" s="228"/>
      <x:c r="I99" s="230"/>
      <x:c r="J99" s="232"/>
      <x:c r="K99" s="2"/>
      <x:c r="L99" s="2"/>
      <x:c r="M99" s="2"/>
      <x:c r="N99" s="2"/>
    </x:row>
    <x:row r="100">
      <x:c r="A100" s="230"/>
      <x:c r="B100" s="228"/>
      <x:c r="C100" s="228"/>
      <x:c r="D100" s="228"/>
      <x:c r="E100" s="228"/>
      <x:c r="F100" s="228"/>
      <x:c r="G100" s="228"/>
      <x:c r="H100" s="228"/>
      <x:c r="I100" s="230"/>
      <x:c r="J100" s="232"/>
      <x:c r="K100" s="2"/>
      <x:c r="L100" s="2"/>
      <x:c r="M100" s="2"/>
      <x:c r="N100" s="2"/>
    </x:row>
    <x:row r="101">
      <x:c r="A101" s="230"/>
      <x:c r="B101" s="228"/>
      <x:c r="C101" s="228"/>
      <x:c r="D101" s="228"/>
      <x:c r="E101" s="228"/>
      <x:c r="F101" s="228"/>
      <x:c r="G101" s="228"/>
      <x:c r="H101" s="228"/>
      <x:c r="I101" s="230"/>
      <x:c r="J101" s="232"/>
      <x:c r="K101" s="2"/>
      <x:c r="L101" s="2"/>
      <x:c r="M101" s="2"/>
      <x:c r="N101" s="2"/>
    </x:row>
    <x:row r="102">
      <x:c r="A102" s="230"/>
      <x:c r="B102" s="228"/>
      <x:c r="C102" s="228"/>
      <x:c r="D102" s="228"/>
      <x:c r="E102" s="228"/>
      <x:c r="F102" s="228"/>
      <x:c r="G102" s="228"/>
      <x:c r="H102" s="228"/>
      <x:c r="I102" s="230"/>
      <x:c r="J102" s="232"/>
      <x:c r="K102" s="2"/>
      <x:c r="L102" s="2"/>
      <x:c r="M102" s="2"/>
      <x:c r="N102" s="2"/>
    </x:row>
    <x:row r="103">
      <x:c r="A103" s="230"/>
      <x:c r="B103" s="228"/>
      <x:c r="C103" s="228"/>
      <x:c r="D103" s="228"/>
      <x:c r="E103" s="228"/>
      <x:c r="F103" s="228"/>
      <x:c r="G103" s="228"/>
      <x:c r="H103" s="228"/>
      <x:c r="I103" s="230"/>
      <x:c r="J103" s="232"/>
      <x:c r="K103" s="2"/>
      <x:c r="L103" s="2"/>
      <x:c r="M103" s="2"/>
      <x:c r="N103" s="2"/>
    </x:row>
    <x:row r="104">
      <x:c r="A104" s="230"/>
      <x:c r="B104" s="228"/>
      <x:c r="C104" s="228"/>
      <x:c r="D104" s="228"/>
      <x:c r="E104" s="228"/>
      <x:c r="F104" s="228"/>
      <x:c r="G104" s="228"/>
      <x:c r="H104" s="228"/>
      <x:c r="I104" s="230"/>
      <x:c r="J104" s="232"/>
      <x:c r="K104" s="2"/>
      <x:c r="L104" s="2"/>
      <x:c r="M104" s="2"/>
      <x:c r="N104" s="2"/>
    </x:row>
    <x:row r="105">
      <x:c r="A105" s="310"/>
      <x:c r="B105" s="311"/>
      <x:c r="C105" s="311"/>
      <x:c r="D105" s="311"/>
      <x:c r="E105" s="311"/>
      <x:c r="F105" s="311"/>
      <x:c r="G105" s="311"/>
      <x:c r="H105" s="311"/>
      <x:c r="I105" s="310"/>
      <x:c r="J105" s="312"/>
      <x:c r="K105" s="2"/>
      <x:c r="L105" s="2"/>
      <x:c r="M105" s="2"/>
      <x:c r="N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</x:row>
  </x:sheetData>
  <x:mergeCells>
    <x:mergeCell ref="A3:J3"/>
    <x:mergeCell ref="L5:N5"/>
    <x:mergeCell ref="A2:B2"/>
    <x:mergeCell ref="C2:D2"/>
    <x:mergeCell ref="E2:F2"/>
    <x:mergeCell ref="G2:H2"/>
    <x:mergeCell ref="I2:J2"/>
    <x:mergeCell ref="A1:J1"/>
    <x:mergeCell ref="M6:N6"/>
    <x:mergeCell ref="M7:N7"/>
    <x:mergeCell ref="M8:N8"/>
  </x:mergeCells>
  <x:dataValidations count="2">
    <x:dataValidation type="list" sqref="C6:C105">
      <x:formula1>"After-print cleanup,Quick clean &amp; inspection,Detailed preventative inspection,500-hour official service,Full mechanical inspection/service,After nozzle replacement,Idle more than 2 days,Repair / troubleshooting,Other"</x:formula1>
    </x:dataValidation>
    <x:dataValidation type="list" sqref="H6:H105">
      <x:formula1>"No,Yes"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8" hidden="0" customWidth="1"/>
    <x:col min="4" max="4" width="18" hidden="0" customWidth="1"/>
    <x:col min="5" max="5" width="18" hidden="0" customWidth="1"/>
    <x:col min="6" max="6" width="16" hidden="0" customWidth="1"/>
  </x:cols>
  <x:sheetData>
    <x:row r="1" ht="34" customHeight="1">
      <x:c r="A1" s="418" t="str">
        <x:v>How to Use the Creator 5 Maintenance App | Rose &amp; Paw Applications</x:v>
      </x:c>
      <x:c r="B1" s="418"/>
      <x:c r="C1" s="418"/>
      <x:c r="D1" s="418"/>
      <x:c r="E1" s="418"/>
      <x:c r="F1" s="336"/>
    </x:row>
    <x:row r="2" ht="28" customHeight="1">
      <x:c r="A2" s="419" t="str">
        <x:f>IFERROR(HYPERLINK("#Dashboard!A1","HOME"),"HOME")</x:f>
        <x:v>HOME</x:v>
      </x:c>
      <x:c r="B2" s="435" t="str">
        <x:f>IFERROR(HYPERLINK("#'Maintenance Center'!A1","MAINTENANCE"),"MAINTENANCE")</x:f>
        <x:v>MAINTENANCE</x:v>
      </x:c>
      <x:c r="C2" s="419" t="str">
        <x:f>IFERROR(HYPERLINK("#Checklist!A1","CHECKLIST"),"CHECKLIST")</x:f>
        <x:v>CHECKLIST</x:v>
      </x:c>
      <x:c r="D2" s="436" t="str">
        <x:f>IFERROR(HYPERLINK("#'Service Log'!A1","SERVICE LOG"),"SERVICE LOG")</x:f>
        <x:v>SERVICE LOG</x:v>
      </x:c>
      <x:c r="E2" s="424" t="str">
        <x:v>HELP</x:v>
      </x:c>
      <x:c r="F2" s="325"/>
      <x:c r="G2"/>
      <x:c r="I2"/>
    </x:row>
    <x:row r="3">
      <x:c r="A3" s="2"/>
      <x:c r="B3" s="2"/>
      <x:c r="C3" s="2"/>
      <x:c r="D3" s="2"/>
      <x:c r="E3" s="2"/>
      <x:c r="F3" s="2"/>
    </x:row>
    <x:row r="4" ht="23" customHeight="1">
      <x:c r="A4" s="438" t="str">
        <x:v>APP BASICS</x:v>
      </x:c>
      <x:c r="B4" s="438"/>
      <x:c r="C4" s="438"/>
      <x:c r="D4" s="438"/>
      <x:c r="E4" s="438"/>
      <x:c r="F4" s="346"/>
    </x:row>
    <x:row r="5" ht="34" customHeight="1">
      <x:c r="A5" s="349" t="str">
        <x:v>Navigation buttons</x:v>
      </x:c>
      <x:c r="B5" s="342" t="str">
        <x:v>Use the navigation row at the top of each sheet to move between Home, Maintenance, Checklist, Service Log and Help.</x:v>
      </x:c>
      <x:c r="C5" s="354"/>
      <x:c r="D5" s="354"/>
      <x:c r="E5" s="354"/>
      <x:c r="F5" s="354"/>
    </x:row>
    <x:row r="6" ht="28" customHeight="1">
      <x:c r="A6" s="349" t="str">
        <x:v>Yellow input cells</x:v>
      </x:c>
      <x:c r="B6" s="342" t="str">
        <x:v>These are the cells you normally type into. On the Checklist, enter Date Done and Printer Hours in the yellow cells.</x:v>
      </x:c>
      <x:c r="C6" s="354"/>
      <x:c r="D6" s="354"/>
      <x:c r="E6" s="354"/>
      <x:c r="F6" s="354"/>
    </x:row>
    <x:row r="7" ht="34" customHeight="1">
      <x:c r="A7" s="349" t="str">
        <x:v>Checklist status boxes</x:v>
      </x:c>
      <x:c r="B7" s="342" t="str">
        <x:v>The boxes are automatic status indicators, not clickable controls. Scheduled tasks check when you enter a valid Date Done or Printer Hours. For After-print cleanup, today's date checks the task for today, or enter the current printer hours for exact per-print tracking.</x:v>
      </x:c>
      <x:c r="C7" s="354"/>
      <x:c r="D7" s="354"/>
      <x:c r="E7" s="354"/>
      <x:c r="F7" s="354"/>
    </x:row>
    <x:row r="8" ht="34" customHeight="1">
      <x:c r="A8" s="349" t="str">
        <x:v>Current printer hours</x:v>
      </x:c>
      <x:c r="B8" s="342" t="str">
        <x:v>Dashboard B7 is the lifetime print-hour total. Keep increasing it. Do not reset it during normal ownership.</x:v>
      </x:c>
      <x:c r="C8" s="354"/>
      <x:c r="D8" s="354"/>
      <x:c r="E8" s="354"/>
      <x:c r="F8" s="354"/>
    </x:row>
    <x:row r="9" ht="34" customHeight="1">
      <x:c r="A9" s="363" t="str">
        <x:v>Status colours</x:v>
      </x:c>
      <x:c r="B9" s="354" t="str">
        <x:v>Red means DUE, amber means SOON, green means OK, gray means AS NEEDED.</x:v>
      </x:c>
      <x:c r="C9" s="354"/>
      <x:c r="D9" s="354"/>
      <x:c r="E9" s="354"/>
      <x:c r="F9" s="354"/>
    </x:row>
    <x:row r="10" ht="23" customHeight="1">
      <x:c r="A10" s="440" t="str">
        <x:v>FIRST-TIME SETUP</x:v>
      </x:c>
      <x:c r="B10" s="440"/>
      <x:c r="C10" s="440"/>
      <x:c r="D10" s="440"/>
      <x:c r="E10" s="440"/>
      <x:c r="F10" s="365"/>
    </x:row>
    <x:row r="11" ht="28" customHeight="1">
      <x:c r="A11" s="349" t="str">
        <x:v>1</x:v>
      </x:c>
      <x:c r="B11" s="342" t="str">
        <x:v>Open Dashboard and enter the printer's current lifetime hours in B7.</x:v>
      </x:c>
      <x:c r="C11" s="354"/>
      <x:c r="D11" s="354"/>
      <x:c r="E11" s="354"/>
      <x:c r="F11" s="354"/>
    </x:row>
    <x:row r="12" ht="34" customHeight="1">
      <x:c r="A12" s="349" t="str">
        <x:v>2</x:v>
      </x:c>
      <x:c r="B12" s="342" t="str">
        <x:v>If you know when a service was last completed, enter those hours and date in Maintenance Center.</x:v>
      </x:c>
      <x:c r="C12" s="354"/>
      <x:c r="D12" s="354"/>
      <x:c r="E12" s="354"/>
      <x:c r="F12" s="354"/>
    </x:row>
    <x:row r="13" ht="28" customHeight="1">
      <x:c r="A13" s="349" t="str">
        <x:v>3</x:v>
      </x:c>
      <x:c r="B13" s="342" t="str">
        <x:v>If you have never performed a service, leave its Last Completed fields blank.</x:v>
      </x:c>
      <x:c r="C13" s="354"/>
      <x:c r="D13" s="354"/>
      <x:c r="E13" s="354"/>
      <x:c r="F13" s="354"/>
    </x:row>
    <x:row r="14" ht="34" customHeight="1">
      <x:c r="A14" s="349" t="str">
        <x:v>4</x:v>
      </x:c>
      <x:c r="B14" s="342" t="str">
        <x:v>Do not enter estimated completion values for overdue maintenance. Complete the work first.</x:v>
      </x:c>
      <x:c r="C14" s="354"/>
      <x:c r="D14" s="354"/>
      <x:c r="E14" s="354"/>
      <x:c r="F14" s="354"/>
    </x:row>
    <x:row r="15">
      <x:c r="A15" s="363"/>
      <x:c r="B15" s="366"/>
      <x:c r="C15" s="366"/>
      <x:c r="D15" s="366"/>
      <x:c r="E15" s="366"/>
      <x:c r="F15" s="366"/>
    </x:row>
    <x:row r="16">
      <x:c r="A16" s="363"/>
      <x:c r="B16" s="366"/>
      <x:c r="C16" s="366"/>
      <x:c r="D16" s="366"/>
      <x:c r="E16" s="366"/>
      <x:c r="F16" s="366"/>
    </x:row>
    <x:row r="17">
      <x:c r="A17" s="363"/>
      <x:c r="B17" s="366"/>
      <x:c r="C17" s="366"/>
      <x:c r="D17" s="366"/>
      <x:c r="E17" s="366"/>
      <x:c r="F17" s="366"/>
    </x:row>
    <x:row r="18" ht="23" customHeight="1">
      <x:c r="A18" s="440" t="str">
        <x:v>NORMAL WORKFLOW</x:v>
      </x:c>
      <x:c r="B18" s="440"/>
      <x:c r="C18" s="440"/>
      <x:c r="D18" s="440"/>
      <x:c r="E18" s="440"/>
      <x:c r="F18" s="365"/>
    </x:row>
    <x:row r="19" ht="28" customHeight="1">
      <x:c r="A19" s="349" t="str">
        <x:v>1</x:v>
      </x:c>
      <x:c r="B19" s="342" t="str">
        <x:v>Update Dashboard B7 periodically so it matches the printer's lifetime hours.</x:v>
      </x:c>
      <x:c r="C19" s="354"/>
      <x:c r="D19" s="354"/>
      <x:c r="E19" s="354"/>
      <x:c r="F19" s="354"/>
    </x:row>
    <x:row r="20" ht="34" customHeight="1">
      <x:c r="A20" s="349" t="str">
        <x:v>2</x:v>
      </x:c>
      <x:c r="B20" s="342" t="str">
        <x:v>When a service shows DUE or SOON, open Maintenance Center and click OPEN for that service.</x:v>
      </x:c>
      <x:c r="C20" s="354"/>
      <x:c r="D20" s="354"/>
      <x:c r="E20" s="354"/>
      <x:c r="F20" s="354"/>
    </x:row>
    <x:row r="21" ht="34" customHeight="1">
      <x:c r="A21" s="349" t="str">
        <x:v>3</x:v>
      </x:c>
      <x:c r="B21" s="342" t="str">
        <x:v>In Checklist, enter Date Done and/or Printer Hours for each task. Check marks appear automatically. For After-print cleanup, use current Printer Hours if you want the checklist to reset on the next print-hour change.</x:v>
      </x:c>
      <x:c r="C21" s="354"/>
      <x:c r="D21" s="354"/>
      <x:c r="E21" s="354"/>
      <x:c r="F21" s="354"/>
    </x:row>
    <x:row r="22" ht="34" customHeight="1">
      <x:c r="A22" s="349" t="str">
        <x:v>4</x:v>
      </x:c>
      <x:c r="B22" s="342" t="str">
        <x:v>After all tasks are complete, add one permanent row to Service Log.</x:v>
      </x:c>
      <x:c r="C22" s="354"/>
      <x:c r="D22" s="354"/>
      <x:c r="E22" s="354"/>
      <x:c r="F22" s="354"/>
    </x:row>
    <x:row r="23" ht="34" customHeight="1">
      <x:c r="A23" s="349" t="str">
        <x:v>5</x:v>
      </x:c>
      <x:c r="B23" s="342" t="str">
        <x:v>Return to Maintenance Center and enter Last Completed Hours and Date. This starts the next interval and resets that checklist section.</x:v>
      </x:c>
      <x:c r="C23" s="354"/>
      <x:c r="D23" s="354"/>
      <x:c r="E23" s="354"/>
      <x:c r="F23" s="354"/>
    </x:row>
    <x:row r="24">
      <x:c r="A24" s="363"/>
      <x:c r="B24" s="366"/>
      <x:c r="C24" s="366"/>
      <x:c r="D24" s="366"/>
      <x:c r="E24" s="366"/>
      <x:c r="F24" s="366"/>
    </x:row>
    <x:row r="25">
      <x:c r="A25" s="363"/>
      <x:c r="B25" s="366"/>
      <x:c r="C25" s="366"/>
      <x:c r="D25" s="366"/>
      <x:c r="E25" s="366"/>
      <x:c r="F25" s="366"/>
    </x:row>
    <x:row r="26">
      <x:c r="A26" s="363"/>
      <x:c r="B26" s="366"/>
      <x:c r="C26" s="366"/>
      <x:c r="D26" s="366"/>
      <x:c r="E26" s="366"/>
      <x:c r="F26" s="366"/>
    </x:row>
    <x:row r="27" ht="23" customHeight="1">
      <x:c r="A27" s="440" t="str">
        <x:v>WHAT RESETS AND WHAT DOES NOT</x:v>
      </x:c>
      <x:c r="B27" s="440"/>
      <x:c r="C27" s="440"/>
      <x:c r="D27" s="440"/>
      <x:c r="E27" s="440"/>
      <x:c r="F27" s="368"/>
    </x:row>
    <x:row r="28" ht="34" customHeight="1">
      <x:c r="A28" s="349" t="str">
        <x:v>Dashboard printer hours</x:v>
      </x:c>
      <x:c r="B28" s="342" t="str">
        <x:v>Never reset. Keep the lifetime total.</x:v>
      </x:c>
      <x:c r="C28" s="354"/>
      <x:c r="D28" s="354"/>
      <x:c r="E28" s="354"/>
      <x:c r="F28" s="354"/>
    </x:row>
    <x:row r="29" ht="34" customHeight="1">
      <x:c r="A29" s="349" t="str">
        <x:v>Checklist check marks</x:v>
      </x:c>
      <x:c r="B29" s="342" t="str">
        <x:v>Reset automatically when you close a scheduled service in Maintenance Center.</x:v>
      </x:c>
      <x:c r="C29" s="354"/>
      <x:c r="D29" s="354"/>
      <x:c r="E29" s="354"/>
      <x:c r="F29" s="354"/>
    </x:row>
    <x:row r="30" ht="34" customHeight="1">
      <x:c r="A30" s="349" t="str">
        <x:v>After-print checklist</x:v>
      </x:c>
      <x:c r="B30" s="342" t="str">
        <x:v>Resets when Dashboard printer hours advance if Printer Hours was used. If only Date Done is used, it checks for the current day and resets the next day.</x:v>
      </x:c>
      <x:c r="C30" s="354"/>
      <x:c r="D30" s="354"/>
      <x:c r="E30" s="354"/>
      <x:c r="F30" s="354"/>
    </x:row>
    <x:row r="31" ht="34" customHeight="1">
      <x:c r="A31" s="349" t="str">
        <x:v>Checklist Date / Hours / Notes</x:v>
      </x:c>
      <x:c r="B31" s="342" t="str">
        <x:v>Can remain until the next cycle. Overwrite them as you complete the next service.</x:v>
      </x:c>
      <x:c r="C31" s="354"/>
      <x:c r="D31" s="354"/>
      <x:c r="E31" s="354"/>
      <x:c r="F31" s="354"/>
    </x:row>
    <x:row r="32" ht="34" customHeight="1">
      <x:c r="A32" s="349" t="str">
        <x:v>Maintenance Center Last Completed</x:v>
      </x:c>
      <x:c r="B32" s="342" t="str">
        <x:v>Update after each completed service. This starts the next interval.</x:v>
      </x:c>
      <x:c r="C32" s="354"/>
      <x:c r="D32" s="354"/>
      <x:c r="E32" s="354"/>
      <x:c r="F32" s="354"/>
    </x:row>
    <x:row r="33" ht="34" customHeight="1">
      <x:c r="A33" s="349" t="str">
        <x:v>Service Log</x:v>
      </x:c>
      <x:c r="B33" s="342" t="str">
        <x:v>Never reset. It is your permanent service history.</x:v>
      </x:c>
      <x:c r="C33" s="354"/>
      <x:c r="D33" s="354"/>
      <x:c r="E33" s="354"/>
      <x:c r="F33" s="354"/>
    </x:row>
    <x:row r="34" ht="34" customHeight="1">
      <x:c r="A34" s="349" t="str">
        <x:v>Workbook</x:v>
      </x:c>
      <x:c r="B34" s="342" t="str">
        <x:v>Keep using the same file for the life of this printer.</x:v>
      </x:c>
      <x:c r="C34" s="354"/>
      <x:c r="D34" s="354"/>
      <x:c r="E34" s="354"/>
      <x:c r="F34" s="354"/>
    </x:row>
    <x:row r="35">
      <x:c r="A35" s="363"/>
      <x:c r="B35" s="366"/>
      <x:c r="C35" s="366"/>
      <x:c r="D35" s="366"/>
      <x:c r="E35" s="366"/>
      <x:c r="F35" s="366"/>
    </x:row>
    <x:row r="36">
      <x:c r="A36" s="363"/>
      <x:c r="B36" s="366"/>
      <x:c r="C36" s="366"/>
      <x:c r="D36" s="366"/>
      <x:c r="E36" s="366"/>
      <x:c r="F36" s="366"/>
    </x:row>
    <x:row r="37">
      <x:c r="A37" s="363"/>
      <x:c r="B37" s="366"/>
      <x:c r="C37" s="366"/>
      <x:c r="D37" s="366"/>
      <x:c r="E37" s="366"/>
      <x:c r="F37" s="366"/>
    </x:row>
    <x:row r="38">
      <x:c r="A38" s="363"/>
      <x:c r="B38" s="366"/>
      <x:c r="C38" s="366"/>
      <x:c r="D38" s="366"/>
      <x:c r="E38" s="366"/>
      <x:c r="F38" s="366"/>
    </x:row>
    <x:row r="39" ht="23" customHeight="1">
      <x:c r="A39" s="364" t="str">
        <x:v>STATUS MEANINGS</x:v>
      </x:c>
      <x:c r="B39" s="365"/>
      <x:c r="C39" s="365"/>
      <x:c r="D39" s="365"/>
      <x:c r="E39" s="365"/>
      <x:c r="F39" s="365"/>
    </x:row>
    <x:row r="40" ht="34" customHeight="1">
      <x:c r="A40" s="349" t="str">
        <x:v>DUE</x:v>
      </x:c>
      <x:c r="B40" s="342" t="str">
        <x:v>Current hours or due date has reached or passed the next service point.</x:v>
      </x:c>
      <x:c r="C40" s="354"/>
      <x:c r="D40" s="354"/>
      <x:c r="E40" s="354"/>
      <x:c r="F40" s="354"/>
    </x:row>
    <x:row r="41" ht="34" customHeight="1">
      <x:c r="A41" s="349" t="str">
        <x:v>SOON</x:v>
      </x:c>
      <x:c r="B41" s="342" t="str">
        <x:v>Within 10 print hours or 7 calendar days of becoming due.</x:v>
      </x:c>
      <x:c r="C41" s="354"/>
      <x:c r="D41" s="354"/>
      <x:c r="E41" s="354"/>
      <x:c r="F41" s="354"/>
    </x:row>
    <x:row r="42" ht="34" customHeight="1">
      <x:c r="A42" s="349" t="str">
        <x:v>OK</x:v>
      </x:c>
      <x:c r="B42" s="342" t="str">
        <x:v>No scheduled maintenance is currently required.</x:v>
      </x:c>
      <x:c r="C42" s="354"/>
      <x:c r="D42" s="354"/>
      <x:c r="E42" s="354"/>
      <x:c r="F42" s="354"/>
    </x:row>
    <x:row r="43" ht="34" customHeight="1">
      <x:c r="A43" s="349" t="str">
        <x:v>AS NEEDED</x:v>
      </x:c>
      <x:c r="B43" s="342" t="str">
        <x:v>Event-driven item rather than a fixed service interval.</x:v>
      </x:c>
      <x:c r="C43" s="354"/>
      <x:c r="D43" s="354"/>
      <x:c r="E43" s="354"/>
      <x:c r="F43" s="354"/>
    </x:row>
    <x:row r="44">
      <x:c r="A44" s="363"/>
      <x:c r="B44" s="366"/>
      <x:c r="C44" s="366"/>
      <x:c r="D44" s="366"/>
      <x:c r="E44" s="366"/>
      <x:c r="F44" s="366"/>
    </x:row>
    <x:row r="45">
      <x:c r="A45" s="363"/>
      <x:c r="B45" s="366"/>
      <x:c r="C45" s="366"/>
      <x:c r="D45" s="366"/>
      <x:c r="E45" s="366"/>
      <x:c r="F45" s="366"/>
    </x:row>
    <x:row r="46">
      <x:c r="A46" s="363"/>
      <x:c r="B46" s="366"/>
      <x:c r="C46" s="366"/>
      <x:c r="D46" s="366"/>
      <x:c r="E46" s="366"/>
      <x:c r="F46" s="366"/>
    </x:row>
    <x:row r="47" ht="23" customHeight="1">
      <x:c r="A47" s="367" t="str">
        <x:v>EXAMPLE: 500-HOUR SERVICE</x:v>
      </x:c>
      <x:c r="B47" s="368"/>
      <x:c r="C47" s="368"/>
      <x:c r="D47" s="368"/>
      <x:c r="E47" s="368"/>
      <x:c r="F47" s="368"/>
    </x:row>
    <x:row r="48" ht="34" customHeight="1">
      <x:c r="A48" s="349" t="str">
        <x:v>1</x:v>
      </x:c>
      <x:c r="B48" s="342" t="str">
        <x:v>At about 500 hours, Maintenance Center will show the 500-hour service as DUE.</x:v>
      </x:c>
      <x:c r="C48" s="354"/>
      <x:c r="D48" s="354"/>
      <x:c r="E48" s="354"/>
      <x:c r="F48" s="354"/>
    </x:row>
    <x:row r="49" ht="34" customHeight="1">
      <x:c r="A49" s="349" t="str">
        <x:v>2</x:v>
      </x:c>
      <x:c r="B49" s="342" t="str">
        <x:v>Click OPEN to jump to its checklist tasks.</x:v>
      </x:c>
      <x:c r="C49" s="354"/>
      <x:c r="D49" s="354"/>
      <x:c r="E49" s="354"/>
      <x:c r="F49" s="354"/>
    </x:row>
    <x:row r="50" ht="34" customHeight="1">
      <x:c r="A50" s="349" t="str">
        <x:v>3</x:v>
      </x:c>
      <x:c r="B50" s="342" t="str">
        <x:v>Complete each task and enter its date and printer hours.</x:v>
      </x:c>
      <x:c r="C50" s="354"/>
      <x:c r="D50" s="354"/>
      <x:c r="E50" s="354"/>
      <x:c r="F50" s="354"/>
    </x:row>
    <x:row r="51" ht="34" customHeight="1">
      <x:c r="A51" s="349" t="str">
        <x:v>4</x:v>
      </x:c>
      <x:c r="B51" s="342" t="str">
        <x:v>Add a summary entry to Service Log.</x:v>
      </x:c>
      <x:c r="C51" s="354"/>
      <x:c r="D51" s="354"/>
      <x:c r="E51" s="354"/>
      <x:c r="F51" s="354"/>
    </x:row>
    <x:row r="52" ht="34" customHeight="1">
      <x:c r="A52" s="349" t="str">
        <x:v>5</x:v>
      </x:c>
      <x:c r="B52" s="342" t="str">
        <x:v>If you finished at 512 hours, enter 512 in Last Completed Hours and the completion date in Maintenance Center.</x:v>
      </x:c>
      <x:c r="C52" s="354"/>
      <x:c r="D52" s="354"/>
      <x:c r="E52" s="354"/>
      <x:c r="F52" s="354"/>
    </x:row>
    <x:row r="53" ht="34" customHeight="1">
      <x:c r="A53" s="349" t="str">
        <x:v>6</x:v>
      </x:c>
      <x:c r="B53" s="342" t="str">
        <x:v>The next due point becomes 1,012 hours and the old checklist check marks reset.</x:v>
      </x:c>
      <x:c r="C53" s="354"/>
      <x:c r="D53" s="354"/>
      <x:c r="E53" s="354"/>
      <x:c r="F53" s="354"/>
    </x:row>
    <x:row r="54">
      <x:c r="A54" s="363"/>
      <x:c r="B54" s="366"/>
      <x:c r="C54" s="366"/>
      <x:c r="D54" s="366"/>
      <x:c r="E54" s="366"/>
      <x:c r="F54" s="366"/>
    </x:row>
    <x:row r="55">
      <x:c r="A55" s="363"/>
      <x:c r="B55" s="366"/>
      <x:c r="C55" s="366"/>
      <x:c r="D55" s="366"/>
      <x:c r="E55" s="366"/>
      <x:c r="F55" s="366"/>
    </x:row>
    <x:row r="56">
      <x:c r="A56" s="363"/>
      <x:c r="B56" s="366"/>
      <x:c r="C56" s="366"/>
      <x:c r="D56" s="366"/>
      <x:c r="E56" s="366"/>
      <x:c r="F56" s="366"/>
    </x:row>
    <x:row r="57">
      <x:c r="A57" s="363"/>
      <x:c r="B57" s="366"/>
      <x:c r="C57" s="366"/>
      <x:c r="D57" s="366"/>
      <x:c r="E57" s="366"/>
      <x:c r="F57" s="366"/>
    </x:row>
    <x:row r="58" ht="23" customHeight="1">
      <x:c r="A58" s="440" t="str">
        <x:v>IF THE PRINTER'S OWN HOUR COUNTER RESETS</x:v>
      </x:c>
      <x:c r="B58" s="440"/>
      <x:c r="C58" s="440"/>
      <x:c r="D58" s="440"/>
      <x:c r="E58" s="440"/>
      <x:c r="F58" s="368"/>
    </x:row>
    <x:row r="59" ht="34" customHeight="1">
      <x:c r="A59" s="349" t="str">
        <x:v>Example</x:v>
      </x:c>
      <x:c r="B59" s="342" t="str">
        <x:v>If the printer resets at 1,240 lifetime hours and later shows 80, enter 1,320 in this workbook.</x:v>
      </x:c>
      <x:c r="C59" s="354"/>
      <x:c r="D59" s="354"/>
      <x:c r="E59" s="354"/>
      <x:c r="F59" s="354"/>
    </x:row>
    <x:row r="60" ht="34" customHeight="1">
      <x:c r="A60" s="349" t="str">
        <x:v>Reason</x:v>
      </x:c>
      <x:c r="B60" s="342" t="str">
        <x:v>The maintenance tracker needs a continuous lifetime total so service intervals remain accurate.</x:v>
      </x:c>
      <x:c r="C60" s="354"/>
      <x:c r="D60" s="354"/>
      <x:c r="E60" s="354"/>
      <x:c r="F60" s="354"/>
    </x:row>
    <x:row r="61">
      <x:c r="A61" s="363"/>
      <x:c r="B61" s="366"/>
      <x:c r="C61" s="366"/>
      <x:c r="D61" s="366"/>
      <x:c r="E61" s="366"/>
      <x:c r="F61" s="366"/>
    </x:row>
    <x:row r="62">
      <x:c r="A62" s="363"/>
      <x:c r="B62" s="366"/>
      <x:c r="C62" s="366"/>
      <x:c r="D62" s="366"/>
      <x:c r="E62" s="366"/>
      <x:c r="F62" s="366"/>
    </x:row>
    <x:row r="63">
      <x:c r="A63" s="363"/>
      <x:c r="B63" s="366"/>
      <x:c r="C63" s="366"/>
      <x:c r="D63" s="366"/>
      <x:c r="E63" s="366"/>
      <x:c r="F63" s="366"/>
    </x:row>
    <x:row r="64" ht="34" customHeight="1">
      <x:c r="A64" s="361" t="str">
        <x:v>Important</x:v>
      </x:c>
      <x:c r="B64" s="362" t="str">
        <x:v>The 500-hour positioning-ball and needle-roller service is an official FlashForge Creator 5 interval. The 50-hour/30-day, 150-hour and 1,000-hour intervals in this workbook are practical preventative-maintenance reminders.</x:v>
      </x:c>
      <x:c r="C64" s="362"/>
      <x:c r="D64" s="362"/>
      <x:c r="E64" s="362"/>
      <x:c r="F64" s="362"/>
    </x:row>
    <x:row r="65" ht="34" customHeight="1">
      <x:c r="A65" s="361" t="str">
        <x:v>Input rule</x:v>
      </x:c>
      <x:c r="B65" s="362" t="str">
        <x:v>Type only in yellow maintenance fields and the Service Log unless you intentionally want to change the workbook design.</x:v>
      </x:c>
      <x:c r="C65" s="362"/>
      <x:c r="D65" s="362"/>
      <x:c r="E65" s="362"/>
      <x:c r="F65" s="362"/>
    </x:row>
    <x:row r="66">
      <x:c r="A66" s="2"/>
      <x:c r="B66" s="2"/>
      <x:c r="C66" s="2"/>
      <x:c r="D66" s="2"/>
      <x:c r="E66" s="2"/>
      <x:c r="F66" s="2"/>
    </x:row>
    <x:row r="67">
      <x:c r="A67" s="445" t="str">
        <x:v>ROSE &amp; PAW APPLICATIONS</x:v>
      </x:c>
      <x:c r="B67" s="445"/>
      <x:c r="C67" s="445"/>
      <x:c r="D67" s="445"/>
      <x:c r="E67" s="445"/>
      <x:c r="F67" s="2"/>
    </x:row>
    <x:row r="68">
      <x:c r="A68" s="446" t="str">
        <x:v>This workbook is a free community maintenance-tracking tool for the FlashForge Creator 5.</x:v>
      </x:c>
      <x:c r="B68" s="446"/>
      <x:c r="C68" s="446"/>
      <x:c r="D68" s="446"/>
      <x:c r="E68" s="446"/>
      <x:c r="F68" s="2"/>
    </x:row>
    <x:row r="69">
      <x:c r="A69" s="446" t="str">
        <x:v>Project repository: https://github.com/jsnwilmot/RP_Creator5_Maintenance_App</x:v>
      </x:c>
      <x:c r="B69" s="446"/>
      <x:c r="C69" s="446"/>
      <x:c r="D69" s="446"/>
      <x:c r="E69" s="446"/>
      <x:c r="F69" s="2"/>
    </x:row>
    <x:row r="70">
      <x:c r="A70" s="446" t="str">
        <x:v>A browser-based version is planned. Maintenance data will remain stored locally on the user’s device, with no cloud storage planned.</x:v>
      </x:c>
      <x:c r="B70" s="446"/>
      <x:c r="C70" s="446"/>
      <x:c r="D70" s="446"/>
      <x:c r="E70" s="446"/>
      <x:c r="F70" s="2"/>
    </x:row>
    <x:row r="71">
      <x:c r="A71" s="446" t="str">
        <x:v>Unofficial community tool. Rose &amp; Paw Applications is not affiliated with or endorsed by FlashForge.</x:v>
      </x:c>
      <x:c r="B71" s="446"/>
      <x:c r="C71" s="446"/>
      <x:c r="D71" s="446"/>
      <x:c r="E71" s="446"/>
      <x:c r="F71" s="2"/>
    </x:row>
    <x:row r="72">
      <x:c r="A72" s="2"/>
      <x:c r="B72" s="2"/>
      <x:c r="C72" s="2"/>
      <x:c r="D72" s="2"/>
      <x:c r="E72" s="2"/>
      <x:c r="F72" s="2"/>
    </x:row>
  </x:sheetData>
  <x:mergeCells>
    <x:mergeCell ref="A1:F1"/>
    <x:mergeCell ref="A4:F4"/>
    <x:mergeCell ref="A10:F10"/>
    <x:mergeCell ref="A18:F18"/>
    <x:mergeCell ref="A27:F27"/>
    <x:mergeCell ref="A39:F39"/>
    <x:mergeCell ref="A47:F47"/>
    <x:mergeCell ref="A58:F58"/>
    <x:mergeCell ref="B5:F5"/>
    <x:mergeCell ref="B6:F6"/>
    <x:mergeCell ref="B7:F7"/>
    <x:mergeCell ref="B8:F8"/>
    <x:mergeCell ref="B9:F9"/>
    <x:mergeCell ref="B11:F11"/>
    <x:mergeCell ref="B12:F12"/>
    <x:mergeCell ref="B13:F13"/>
    <x:mergeCell ref="B14:F14"/>
    <x:mergeCell ref="B19:F19"/>
    <x:mergeCell ref="B20:F20"/>
    <x:mergeCell ref="B21:F21"/>
    <x:mergeCell ref="B22:F22"/>
    <x:mergeCell ref="B23:F23"/>
    <x:mergeCell ref="B28:F28"/>
    <x:mergeCell ref="B29:F29"/>
    <x:mergeCell ref="B30:F30"/>
    <x:mergeCell ref="B31:F31"/>
    <x:mergeCell ref="B32:F32"/>
    <x:mergeCell ref="B33:F33"/>
    <x:mergeCell ref="B34:F34"/>
    <x:mergeCell ref="B40:F40"/>
    <x:mergeCell ref="B41:F41"/>
    <x:mergeCell ref="B42:F42"/>
    <x:mergeCell ref="B43:F43"/>
    <x:mergeCell ref="B48:F48"/>
    <x:mergeCell ref="B49:F49"/>
    <x:mergeCell ref="B50:F50"/>
    <x:mergeCell ref="B51:F51"/>
    <x:mergeCell ref="B52:F52"/>
    <x:mergeCell ref="B53:F53"/>
    <x:mergeCell ref="B59:F59"/>
    <x:mergeCell ref="B60:F60"/>
    <x:mergeCell ref="B64:F64"/>
    <x:mergeCell ref="B65:F65"/>
    <x:mergeCell ref="A67:E67"/>
    <x:mergeCell ref="A68:E68"/>
    <x:mergeCell ref="A69:E69"/>
    <x:mergeCell ref="A70:E70"/>
    <x:mergeCell ref="A71:E7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64" hidden="0" customWidth="1"/>
    <x:col min="3" max="3" width="72" hidden="0" customWidth="1"/>
    <x:col min="4" max="4" width="26" hidden="0" customWidth="1"/>
  </x:cols>
  <x:sheetData>
    <x:row r="1">
      <x:c r="A1" s="418" t="str">
        <x:v>Reference | Rose &amp; Paw Applications</x:v>
      </x:c>
      <x:c r="B1" s="418"/>
      <x:c r="C1" s="418"/>
      <x:c r="D1" s="418"/>
    </x:row>
    <x:row r="2">
      <x:c r="A2" s="260" t="str">
        <x:f>IFERROR(HYPERLINK("#Dashboard!A1","HOME"),"HOME")</x:f>
        <x:v>HOME</x:v>
      </x:c>
      <x:c r="B2" s="260" t="str">
        <x:f>IFERROR(HYPERLINK("#'Maintenance Center'!A1","MAINTENANCE"),"MAINTENANCE")</x:f>
        <x:v>MAINTENANCE</x:v>
      </x:c>
      <x:c r="C2" s="260" t="str">
        <x:f>IFERROR(HYPERLINK("#Checklist!A1","CHECKLIST"),"CHECKLIST")</x:f>
        <x:v>CHECKLIST</x:v>
      </x:c>
      <x:c r="D2" s="260" t="str">
        <x:f>IFERROR(HYPERLINK("#Instructions!A1","HELP"),"HELP")</x:f>
        <x:v>HELP</x:v>
      </x:c>
    </x:row>
    <x:row r="3">
      <x:c r="A3" s="2"/>
      <x:c r="B3" s="2"/>
      <x:c r="C3" s="2"/>
      <x:c r="D3" s="2"/>
    </x:row>
    <x:row r="4">
      <x:c r="A4" s="106" t="str">
        <x:v>Topic</x:v>
      </x:c>
      <x:c r="B4" s="106" t="str">
        <x:v>What to know</x:v>
      </x:c>
      <x:c r="C4" s="106" t="str">
        <x:v>Source</x:v>
      </x:c>
      <x:c r="D4" s="106" t="str">
        <x:v>Classification</x:v>
      </x:c>
    </x:row>
    <x:row r="5">
      <x:c r="A5" s="228" t="str">
        <x:v>500-hour positioning mechanism service</x:v>
      </x:c>
      <x:c r="B5" s="228" t="str">
        <x:v>FlashForge specifies maintenance of the Creator 5 extruder mount positioning balls and extruder positioning plate needle rollers once every 500 print hours. The procedure uses WD-40 on a lint-free cloth for cleaning, followed by a thin layer of grease.</x:v>
      </x:c>
      <x:c r="C5" s="228" t="str">
        <x:v>https://wiki.flashforge.com/en/creator-series/creator-5-series/maintenance/extruder-mount-positioning-balls</x:v>
      </x:c>
      <x:c r="D5" s="228" t="str">
        <x:v>Official Creator 5 guidance</x:v>
      </x:c>
    </x:row>
    <x:row r="6">
      <x:c r="A6" s="228" t="str">
        <x:v>Creator 5 support hub</x:v>
      </x:c>
      <x:c r="B6" s="228" t="str">
        <x:v>FlashForge's Creator 5 Series Wiki contains manuals, maintenance information, troubleshooting and firmware guidance.</x:v>
      </x:c>
      <x:c r="C6" s="228" t="str">
        <x:v>https://wiki.flashforge.com/en/creator-series/creator-5-series</x:v>
      </x:c>
      <x:c r="D6" s="228" t="str">
        <x:v>Official Creator 5 resource</x:v>
      </x:c>
    </x:row>
    <x:row r="7">
      <x:c r="A7" s="228" t="str">
        <x:v>Nozzle offset calibration</x:v>
      </x:c>
      <x:c r="B7" s="228" t="str">
        <x:v>For multi-nozzle printing, FlashForge guidance calls for nozzle offset calibration to maintain spatial alignment of the nozzles.</x:v>
      </x:c>
      <x:c r="C7" s="228" t="str">
        <x:v>https://wiki.flashforge.com/en/Flash-Studio/Flash-Studio-Desktop/mixcolor</x:v>
      </x:c>
      <x:c r="D7" s="228" t="str">
        <x:v>Official FlashForge guidance</x:v>
      </x:c>
    </x:row>
    <x:row r="8">
      <x:c r="A8" s="228" t="str">
        <x:v>50 h / 30 day, 150 h and 1,000 h reminders</x:v>
      </x:c>
      <x:c r="B8" s="228" t="str">
        <x:v>These intervals are included as conservative practical reminders for inspection and cleaning. They are not presented as FlashForge Creator 5 mandatory service intervals.</x:v>
      </x:c>
      <x:c r="C8" s="228" t="str"/>
      <x:c r="D8" s="228" t="str">
        <x:v>Practical recommendation</x:v>
      </x:c>
    </x:row>
    <x:row r="9">
      <x:c r="A9" s="2"/>
      <x:c r="B9" s="2"/>
      <x:c r="C9" s="2"/>
      <x:c r="D9" s="2"/>
    </x:row>
    <x:row r="10">
      <x:c r="A10" s="15" t="str">
        <x:v>Suggested supply</x:v>
      </x:c>
      <x:c r="B10" s="15" t="str">
        <x:v>Use</x:v>
      </x:c>
      <x:c r="C10" s="15"/>
      <x:c r="D10" s="15"/>
    </x:row>
    <x:row r="11">
      <x:c r="A11" s="113" t="str">
        <x:v>FlashForge/suitable grease</x:v>
      </x:c>
      <x:c r="B11" s="113" t="str">
        <x:v>500-hour positioning mechanism and other manufacturer-approved lubrication points</x:v>
      </x:c>
      <x:c r="C11" s="113"/>
      <x:c r="D11" s="113"/>
    </x:row>
    <x:row r="12">
      <x:c r="A12" s="113" t="str">
        <x:v>Lint-free cloths/wipes</x:v>
      </x:c>
      <x:c r="B12" s="113" t="str">
        <x:v>Cleaning motion components and positioning mechanism</x:v>
      </x:c>
      <x:c r="C12" s="113"/>
      <x:c r="D12" s="113"/>
    </x:row>
    <x:row r="13">
      <x:c r="A13" s="113" t="str">
        <x:v>WD-40</x:v>
      </x:c>
      <x:c r="B13" s="113" t="str">
        <x:v>Only for the official 500-hour cleaning procedure, applied to a cloth, not sprayed into the printer</x:v>
      </x:c>
      <x:c r="C13" s="113"/>
      <x:c r="D13" s="113"/>
    </x:row>
    <x:row r="14">
      <x:c r="A14" s="113" t="str">
        <x:v>Mild dish soap</x:v>
      </x:c>
      <x:c r="B14" s="113" t="str">
        <x:v>Build-plate deep cleaning when appropriate</x:v>
      </x:c>
      <x:c r="C14" s="113"/>
      <x:c r="D14" s="113"/>
    </x:row>
    <x:row r="15">
      <x:c r="A15" s="113" t="str">
        <x:v>Soft brush</x:v>
      </x:c>
      <x:c r="B15" s="113" t="str">
        <x:v>Loose dust and filament debris</x:v>
      </x:c>
      <x:c r="C15" s="113"/>
      <x:c r="D15" s="113"/>
    </x:row>
    <x:row r="16">
      <x:c r="A16" s="113" t="str">
        <x:v>Metric Allen keys</x:v>
      </x:c>
      <x:c r="B16" s="113" t="str">
        <x:v>Fastener checks and servicing</x:v>
      </x:c>
      <x:c r="C16" s="113"/>
      <x:c r="D16" s="113"/>
    </x:row>
    <x:row r="17">
      <x:c r="A17" s="2"/>
      <x:c r="B17" s="2"/>
      <x:c r="C17" s="2"/>
      <x:c r="D17" s="2"/>
    </x:row>
    <x:row r="18">
      <x:c r="A18" s="446" t="str">
        <x:v>Project</x:v>
      </x:c>
      <x:c r="B18" s="446" t="str">
        <x:v>Rose &amp; Paw Applications</x:v>
      </x:c>
      <x:c r="C18" s="446" t="str">
        <x:v>Repository</x:v>
      </x:c>
      <x:c r="D18" s="446" t="str">
        <x:v>https://github.com/jsnwilmot/RP_Creator5_Maintenance_App</x:v>
      </x:c>
    </x:row>
    <x:row r="19">
      <x:c r="A19" s="446" t="str">
        <x:v>Disclaimer</x:v>
      </x:c>
      <x:c r="B19" s="446" t="str">
        <x:v>Unofficial community tool</x:v>
      </x:c>
      <x:c r="C19" s="446" t="str">
        <x:v>Affiliation</x:v>
      </x:c>
      <x:c r="D19" s="446" t="str">
        <x:v>Not affiliated with or endorsed by FlashForge</x:v>
      </x:c>
    </x:row>
    <x:row r="20">
      <x:c r="A20" s="2"/>
      <x:c r="B20" s="2"/>
      <x:c r="C20" s="2"/>
      <x:c r="D20" s="2"/>
    </x:row>
    <x:row r="21">
      <x:c r="A21" s="2"/>
      <x:c r="B21" s="2"/>
      <x:c r="C21" s="2"/>
      <x:c r="D21" s="2"/>
    </x:row>
    <x:row r="22">
      <x:c r="A22" s="2"/>
      <x:c r="B22" s="2"/>
      <x:c r="C22" s="2"/>
      <x:c r="D22" s="2"/>
    </x:row>
    <x:row r="23">
      <x:c r="A23" s="2"/>
      <x:c r="B23" s="2"/>
      <x:c r="C23" s="2"/>
      <x:c r="D23" s="2"/>
    </x:row>
    <x:row r="24">
      <x:c r="A24" s="2"/>
      <x:c r="B24" s="2"/>
      <x:c r="C24" s="2"/>
      <x:c r="D24" s="2"/>
    </x:row>
  </x:sheetData>
  <x:mergeCells>
    <x:mergeCell ref="A1:D1"/>
    <x:mergeCell ref="A10:D10"/>
  </x:mergeCells>
  <x:pageMargins left="0.7" right="0.7" top="0.75" bottom="0.75" header="0.3" footer="0.3"/>
</x:worksheet>
</file>